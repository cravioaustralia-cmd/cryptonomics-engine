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Segment Index" sheetId="3" state="visible" r:id="rId5"/>
    <sheet name="Real Footage" sheetId="4" state="visible" r:id="rId6"/>
    <sheet name="Photos" sheetId="5" state="visible" r:id="rId7"/>
    <sheet name="Free Stock" sheetId="6" state="visible" r:id="rId8"/>
    <sheet name="AI B-roll" sheetId="7" state="visible" r:id="rId9"/>
    <sheet name="Quote Cards" sheetId="8" state="visible" r:id="rId10"/>
    <sheet name="Evidence Cards" sheetId="9" state="visible" r:id="rId11"/>
    <sheet name="Maps" sheetId="10" state="visible" r:id="rId12"/>
    <sheet name="Music" sheetId="11" state="visible" r:id="rId13"/>
    <sheet name="SFX" sheetId="12" state="visible" r:id="rId14"/>
    <sheet name="Voiceover" sheetId="13" state="visible" r:id="rId15"/>
  </sheets>
  <definedNames>
    <definedName function="false" hidden="true" localSheetId="6" name="_xlnm._FilterDatabase" vbProcedure="false">'AI B-roll'!$A$1:$N$11</definedName>
    <definedName function="false" hidden="true" localSheetId="8" name="_xlnm._FilterDatabase" vbProcedure="false">'Evidence Cards'!$A$1:$N$22</definedName>
    <definedName function="false" hidden="true" localSheetId="5" name="_xlnm._FilterDatabase" vbProcedure="false">'Free Stock'!$A$1:$N$17</definedName>
    <definedName function="false" hidden="true" localSheetId="9" name="_xlnm._FilterDatabase" vbProcedure="false">Maps!$A$1:$N$13</definedName>
    <definedName function="false" hidden="true" localSheetId="10" name="_xlnm._FilterDatabase" vbProcedure="false">Music!$A$1:$N$10</definedName>
    <definedName function="false" hidden="true" localSheetId="4" name="_xlnm._FilterDatabase" vbProcedure="false">Photos!$A$1:$N$22</definedName>
    <definedName function="false" hidden="true" localSheetId="7" name="_xlnm._FilterDatabase" vbProcedure="false">'Quote Cards'!$A$1:$N$13</definedName>
    <definedName function="false" hidden="true" localSheetId="3" name="_xlnm._FilterDatabase" vbProcedure="false">'Real Footage'!$A$1:$N$7</definedName>
    <definedName function="false" hidden="true" localSheetId="11" name="_xlnm._FilterDatabase" vbProcedure="false">SFX!$A$1:$N$23</definedName>
    <definedName function="false" hidden="true" localSheetId="12" name="_xlnm._FilterDatabase" vbProcedure="false">Voiceover!$A$1:$N$47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<sst xmlns="http://schemas.openxmlformats.org/spreadsheetml/2006/main" count="2480" uniqueCount="1201">
  <si>
    <t xml:space="preserve">BEFORE BONDI — Free Asset List ($0 budget)</t>
  </si>
  <si>
    <t xml:space="preserve">Companion to Before_Bondi_Full_Production_Script.pdf. Every ID here matches the 'Assets' line of a segment (S01–S46) in the script.</t>
  </si>
  <si>
    <t xml:space="preserve">HOW TO USE</t>
  </si>
  <si>
    <t xml:space="preserve">1. Collect tab by tab. Save each file with the exact name in the 'File name' column so the pipeline can match it automatically.</t>
  </si>
  <si>
    <t xml:space="preserve">2. Edit only the yellow columns: Status (dropdown), Credit line (copy it from the source page), Notes.</t>
  </si>
  <si>
    <t xml:space="preserve">3. If an item can't be found free, use its FREE SWAP fallback. Never pay for anything — the Cost column must stay $0.</t>
  </si>
  <si>
    <t xml:space="preserve">4. Maps and evidence cards are built by the pipeline; they're listed so you can check the source wording.</t>
  </si>
  <si>
    <t xml:space="preserve">5. Voiceover tab: one Grok file per segment. Atlas speaks every odd segment and Ara every even one; their word counts are balanced (see Summary).</t>
  </si>
  <si>
    <t xml:space="preserve">6. Quote Cards: built by the pipeline; open the primary source listed to confirm the exact words before export.</t>
  </si>
  <si>
    <t xml:space="preserve">KEY</t>
  </si>
  <si>
    <t xml:space="preserve">🟢 free real footage or photo · FREE SWAP built / stock / AI · 🟡 free only with written permission or confirmed terms (fallback listed)</t>
  </si>
  <si>
    <t xml:space="preserve">STATUS</t>
  </si>
  <si>
    <t xml:space="preserve">Not started · Searching · Downloaded · Licence noted (credit copied) · In repo (uploaded with the exact file name)</t>
  </si>
  <si>
    <t xml:space="preserve">NON-NEGOTIABLES</t>
  </si>
  <si>
    <t xml:space="preserve">No graphic content. No AI likeness of real people. No AI religious dress, symbols or flags. Victims' photos only with family permission. Credit every 🟢 item exactly as its source page asks.</t>
  </si>
  <si>
    <t xml:space="preserve">Category</t>
  </si>
  <si>
    <t xml:space="preserve">Total items</t>
  </si>
  <si>
    <t xml:space="preserve">Downloaded or further</t>
  </si>
  <si>
    <t xml:space="preserve">In repo</t>
  </si>
  <si>
    <t xml:space="preserve">% collected</t>
  </si>
  <si>
    <t xml:space="preserve">Total cost ($)</t>
  </si>
  <si>
    <t xml:space="preserve">Real Footage</t>
  </si>
  <si>
    <t xml:space="preserve">Photos</t>
  </si>
  <si>
    <t xml:space="preserve">Free Stock</t>
  </si>
  <si>
    <t xml:space="preserve">AI B-roll</t>
  </si>
  <si>
    <t xml:space="preserve">Quote Cards</t>
  </si>
  <si>
    <t xml:space="preserve">Evidence Cards</t>
  </si>
  <si>
    <t xml:space="preserve">Maps</t>
  </si>
  <si>
    <t xml:space="preserve">Music</t>
  </si>
  <si>
    <t xml:space="preserve">SFX</t>
  </si>
  <si>
    <t xml:space="preserve">Voiceover</t>
  </si>
  <si>
    <t xml:space="preserve">TOTAL</t>
  </si>
  <si>
    <t xml:space="preserve">Counts update automatically from each tab's Status column. Total cost must stay $0.</t>
  </si>
  <si>
    <t xml:space="preserve">VOICE BALANCE</t>
  </si>
  <si>
    <t xml:space="preserve">Atlas words</t>
  </si>
  <si>
    <t xml:space="preserve">Ara words</t>
  </si>
  <si>
    <t xml:space="preserve">Atlas share</t>
  </si>
  <si>
    <t xml:space="preserve">Segment</t>
  </si>
  <si>
    <t xml:space="preserve">Starts (approx)</t>
  </si>
  <si>
    <t xml:space="preserve">Chapter</t>
  </si>
  <si>
    <t xml:space="preserve">Voice</t>
  </si>
  <si>
    <t xml:space="preserve">Delivery</t>
  </si>
  <si>
    <t xml:space="preserve">Narration (spoken text)</t>
  </si>
  <si>
    <t xml:space="preserve">Assets needed</t>
  </si>
  <si>
    <t xml:space="preserve">Mid-roll after?</t>
  </si>
  <si>
    <t xml:space="preserve">S01</t>
  </si>
  <si>
    <t xml:space="preserve">0:00</t>
  </si>
  <si>
    <t xml:space="preserve">COLD OPEN: How Did This Happen Here?</t>
  </si>
  <si>
    <t xml:space="preserve">Atlas</t>
  </si>
  <si>
    <t xml:space="preserve">quiet, grave, unhurried</t>
  </si>
  <si>
    <t xml:space="preserve">Bondi Beach. · On the fourteenth of December, twenty twenty-five, the first night of Hanukkah, it became the scene of the deadliest terror attack ever carried out on Australian soil. · Fifteen people were killed.</t>
  </si>
  <si>
    <t xml:space="preserve">ST02, SFX13, MG01, SFX24, PH22, MUS10</t>
  </si>
  <si>
    <t xml:space="preserve">S02</t>
  </si>
  <si>
    <t xml:space="preserve">0:19</t>
  </si>
  <si>
    <t xml:space="preserve">Ara</t>
  </si>
  <si>
    <t xml:space="preserve">searching, clear</t>
  </si>
  <si>
    <t xml:space="preserve">Afterwards, the whole country asked the same question. · How did this happen here? · Police say the gunmen were inspired by Islamic State. But the Australia they struck had been under strain for two years, ever since the war in Gaza began in October twenty twenty-three.</t>
  </si>
  <si>
    <t xml:space="preserve">PH22, PH16, PH17, PH24, ST05, ST09, ST12, DOC02, ST13, MG01, SFX21, SFX05, SFX24, SFX06, MUS10</t>
  </si>
  <si>
    <t xml:space="preserve">S03</t>
  </si>
  <si>
    <t xml:space="preserve">0:38</t>
  </si>
  <si>
    <t xml:space="preserve">leaning in, conspiratorial</t>
  </si>
  <si>
    <t xml:space="preserve">This film follows the threads of that strain. · Some go back seventy-eight years. · One goes back just fourteen months, to a fire · in the same suburb.</t>
  </si>
  <si>
    <t xml:space="preserve">MAP01, ST16, SFX05, SFX14, SFX24, SFX02, MUS01</t>
  </si>
  <si>
    <t xml:space="preserve">S04</t>
  </si>
  <si>
    <t xml:space="preserve">0:50</t>
  </si>
  <si>
    <t xml:space="preserve">quiet, then a chill</t>
  </si>
  <si>
    <t xml:space="preserve">October, twenty twenty-four. In the early hours, a small kosher restaurant in Bondi goes up in flames. Nobody is hurt. Police treat it as a local crime. · Seven weeks later, eight hundred kilometres south, a synagogue in Melbourne is firebombed before dawn.</t>
  </si>
  <si>
    <t xml:space="preserve">ST03, AI01, PH21, MAP11, PH20, MG01, SFX24, SFX02, SFX03, SFX05, SFX11, MUS01</t>
  </si>
  <si>
    <t xml:space="preserve">S05</t>
  </si>
  <si>
    <t xml:space="preserve">1:08</t>
  </si>
  <si>
    <t xml:space="preserve">hushed, ominous</t>
  </si>
  <si>
    <t xml:space="preserve">What almost nobody knew then was that the people who lit these fires were allegedly paid. · And the money trail led to a government on the other side of the world.</t>
  </si>
  <si>
    <t xml:space="preserve">AI02, SFX19, SFX21, MUS01</t>
  </si>
  <si>
    <t xml:space="preserve">S06</t>
  </si>
  <si>
    <t xml:space="preserve">1:21</t>
  </si>
  <si>
    <t xml:space="preserve">warm, intriguing</t>
  </si>
  <si>
    <t xml:space="preserve">And on the night of the attack, one man ran toward the gunfire. · His story became one of the most shared in the country. · We'll come back to him.</t>
  </si>
  <si>
    <t xml:space="preserve">ST01, SFX21, MUS01</t>
  </si>
  <si>
    <t xml:space="preserve">S07</t>
  </si>
  <si>
    <t xml:space="preserve">1:34</t>
  </si>
  <si>
    <t xml:space="preserve">calm, setting the contract with the viewer</t>
  </si>
  <si>
    <t xml:space="preserve">None of these threads explains Bondi on its own. · But together, they show the country it happened in. · And to understand that country, we have to follow the money first.</t>
  </si>
  <si>
    <t xml:space="preserve">MAP01, SFX05, SFX11, MUS12</t>
  </si>
  <si>
    <t xml:space="preserve">S08</t>
  </si>
  <si>
    <t xml:space="preserve">1:54</t>
  </si>
  <si>
    <t xml:space="preserve">CHAPTER 1: The Fire</t>
  </si>
  <si>
    <t xml:space="preserve">investigative, vivid</t>
  </si>
  <si>
    <t xml:space="preserve">For months, the fires looked like local crime. But Australia's domestic spy agency, ASIO, kept following the money. · What its investigators found, ASIO's chief later described as a layer cake.</t>
  </si>
  <si>
    <t xml:space="preserve">PH24, QT12, MUS12, MUS04, SFX06, SFX21, MG01</t>
  </si>
  <si>
    <t xml:space="preserve">S09</t>
  </si>
  <si>
    <t xml:space="preserve">2:09</t>
  </si>
  <si>
    <t xml:space="preserve">clear, rhythmic</t>
  </si>
  <si>
    <t xml:space="preserve">Middlemen overseas. Coordinators. And at the bottom, local criminals, paid to do a job, not to make a point. · Security experts call it crime as a service. · It's cheap. It's deniable. And it's very hard to detect.</t>
  </si>
  <si>
    <t xml:space="preserve">MAP06, SFX06, SFX05, MUS04</t>
  </si>
  <si>
    <t xml:space="preserve">S10</t>
  </si>
  <si>
    <t xml:space="preserve">2:25</t>
  </si>
  <si>
    <t xml:space="preserve">formal, then weighty</t>
  </si>
  <si>
    <t xml:space="preserve">August, twenty twenty-five. The Prime Minister announces ASIO's assessment. · According to ASIO, Iran's Islamic Revolutionary Guard Corps directed at least two of the attacks. The Bondi restaurant fire, and the Melbourne synagogue. · He called them, quote, extraordinary and dangerous acts of aggression, orchestrated by a foreign nation on Australian soil.</t>
  </si>
  <si>
    <t xml:space="preserve">DOC03, PH21, PH20, QT01, PH07, MG01, MG02, SFX24, SFX11, SFX21, SFX19, MUS04</t>
  </si>
  <si>
    <t xml:space="preserve">S11</t>
  </si>
  <si>
    <t xml:space="preserve">2:47</t>
  </si>
  <si>
    <t xml:space="preserve">grave, then pointed</t>
  </si>
  <si>
    <t xml:space="preserve">Australia expelled Iran's ambassador. The first expulsion of an ambassador since the Second World War. Iran denied any involvement. · In Parliament, Opposition Leader Sussan Ley said the attacks aimed to, quote, turn neighbour against neighbour, and Australian against Australian. · Remember those words.</t>
  </si>
  <si>
    <t xml:space="preserve">AI07, DOC19, FT07, QT02, PH29, MG02, SFX22, SFX06, SFX19, SFX21, MUS04</t>
  </si>
  <si>
    <t xml:space="preserve">S12</t>
  </si>
  <si>
    <t xml:space="preserve">3:05</t>
  </si>
  <si>
    <t xml:space="preserve">turning, building a bridge</t>
  </si>
  <si>
    <t xml:space="preserve">That was one hundred and ten days before Bondi. · But why would anyone use a fire in Bondi as a weapon at all? · To answer that, we have to go back to a vote Australia cast first.</t>
  </si>
  <si>
    <t xml:space="preserve">MAP01, MG01, ST16, SFX24, SFX02, SFX07, MUS04</t>
  </si>
  <si>
    <t xml:space="preserve">YES</t>
  </si>
  <si>
    <t xml:space="preserve">S13</t>
  </si>
  <si>
    <t xml:space="preserve">3:21</t>
  </si>
  <si>
    <t xml:space="preserve">CHAPTER 2: Two Memories</t>
  </si>
  <si>
    <t xml:space="preserve">storytelling, quiet surprise</t>
  </si>
  <si>
    <t xml:space="preserve">November, nineteen forty-seven. The new United Nations votes on a plan to divide Palestine into a Jewish state and an Arab state. · The committee behind it is chaired by Australia's foreign minister. · And the first country to vote yes · is Australia.</t>
  </si>
  <si>
    <t xml:space="preserve">PH26, FT05, DOC01, MAP03, DOC02, MG01, MUS12, MUS02, SFX07, SFX24, SFX05, SFX20</t>
  </si>
  <si>
    <t xml:space="preserve">S14</t>
  </si>
  <si>
    <t xml:space="preserve">3:43</t>
  </si>
  <si>
    <t xml:space="preserve">warm, vivid</t>
  </si>
  <si>
    <t xml:space="preserve">Thirty years earlier, Australian Light Horsemen had charged at Beersheba, helping open the road to Jerusalem. · So Australians shaped this land twice. · Once on horseback. And once at a ballot.</t>
  </si>
  <si>
    <t xml:space="preserve">ST06, AI03, FT02, PH02, MAP02, DOC02, SFX21, SFX24, SFX16, SFX19, MUS02</t>
  </si>
  <si>
    <t xml:space="preserve">S15</t>
  </si>
  <si>
    <t xml:space="preserve">3:58</t>
  </si>
  <si>
    <t xml:space="preserve">soft, even, equal weight to both halves</t>
  </si>
  <si>
    <t xml:space="preserve">For many Jewish people, that vote is remembered as a rescue, after the Holocaust. · For Palestinians, what followed in nineteen forty-eight is remembered as the Nakba. The catastrophe. When more than seven hundred thousand people fled or were expelled from their homes. · The same event. · Remembered in two opposite ways.</t>
  </si>
  <si>
    <t xml:space="preserve">PH03, PH04, MUS06, SFX21</t>
  </si>
  <si>
    <t xml:space="preserve">S16</t>
  </si>
  <si>
    <t xml:space="preserve">4:22</t>
  </si>
  <si>
    <t xml:space="preserve">warm, grounded</t>
  </si>
  <si>
    <t xml:space="preserve">Both memories sailed to Australia. · Melbourne became home to one of the largest communities of Holocaust survivors, per person, outside Israel. Palestinian, Lebanese and other Arab families settled in Sydney's south-west. · Today, more than one hundred thousand Jewish Australians, and more than eight hundred thousand Muslim Australians, call this country home.</t>
  </si>
  <si>
    <t xml:space="preserve">AI05, PH05, PH06, MAP04, DOC10, SFX05, SFX06, MUS02</t>
  </si>
  <si>
    <t xml:space="preserve">S17</t>
  </si>
  <si>
    <t xml:space="preserve">4:43</t>
  </si>
  <si>
    <t xml:space="preserve">connecting, forward hook</t>
  </si>
  <si>
    <t xml:space="preserve">So when war comes to the Middle East, it doesn't stay there. · It arrives in Australian homes, as family. · And in the two years before Bondi, it arrived in Canberra too.</t>
  </si>
  <si>
    <t xml:space="preserve">ST03, MAP01, MG01, SFX05, SFX24, SFX06, MUS07</t>
  </si>
  <si>
    <t xml:space="preserve">S18</t>
  </si>
  <si>
    <t xml:space="preserve">4:57</t>
  </si>
  <si>
    <t xml:space="preserve">CHAPTER 3: Canberra's Choices</t>
  </si>
  <si>
    <t xml:space="preserve">clear, a small reveal</t>
  </si>
  <si>
    <t xml:space="preserve">First, a choice almost nobody noticed. · Dozens of Australian companies make parts for the F-35 fighter jet, and those parts go into a shared global pool. · Australia's air force flies the F-35. · So does Israel's.</t>
  </si>
  <si>
    <t xml:space="preserve">ST07, AI04, FT01, MAP05, SFX10, SFX19, SFX05, SFX06, SFX09, MUS12, MUS07</t>
  </si>
  <si>
    <t xml:space="preserve">S19</t>
  </si>
  <si>
    <t xml:space="preserve">5:15</t>
  </si>
  <si>
    <t xml:space="preserve">neutral, both cases in identical tone</t>
  </si>
  <si>
    <t xml:space="preserve">Critics, including aid groups and the Greens, say that makes Australia part of the war. · The government says Australia has not supplied weapons or ammunition to Israel since the war began, and that leaving the pool would weaken Australia's own defence, without grounding a single Israeli jet.</t>
  </si>
  <si>
    <t xml:space="preserve">DOC13, SFX18, MUS07</t>
  </si>
  <si>
    <t xml:space="preserve">S20</t>
  </si>
  <si>
    <t xml:space="preserve">5:35</t>
  </si>
  <si>
    <t xml:space="preserve">historic, connecting the dots</t>
  </si>
  <si>
    <t xml:space="preserve">Then, a choice everyone noticed. · In August twenty twenty-five, the Prime Minister announced Australia would recognise the State of Palestine. He called a two-state solution, quote, humanity's best hope to break the cycle of violence. · And he reminded the country that Australia had been the first to back the U.N. plan, back in nineteen forty-seven.</t>
  </si>
  <si>
    <t xml:space="preserve">QT06, PH07, DOC02, MG01, SFX24, SFX20, SFX06, MUS07</t>
  </si>
  <si>
    <t xml:space="preserve">S21</t>
  </si>
  <si>
    <t xml:space="preserve">5:59</t>
  </si>
  <si>
    <t xml:space="preserve">neutral, attacked from both sides</t>
  </si>
  <si>
    <t xml:space="preserve">It was made official at the United Nations in September, with conditions. No role for Hamas, demilitarisation, and Palestinian elections. · And it was attacked from both directions. The Coalition, Israel's government and many Jewish groups said it rewarded Hamas. · A pro-Palestinian advocacy group called it, quote, completely meaningless, while Australia still traded with Israel.</t>
  </si>
  <si>
    <t xml:space="preserve">FT04, MAP08, DOC09, QT07, SFX05, SFX11, SFX21, MUS07</t>
  </si>
  <si>
    <t xml:space="preserve">S22</t>
  </si>
  <si>
    <t xml:space="preserve">6:22</t>
  </si>
  <si>
    <t xml:space="preserve">tense, reading plainly</t>
  </si>
  <si>
    <t xml:space="preserve">Then it turned personal. · Israel's prime minister posted that history would remember Albanese as, quote, a weak politician who betrayed Israel and abandoned Australia's Jews. · Albanese replied, quote, I don't take these things personally.</t>
  </si>
  <si>
    <t xml:space="preserve">PH10, PH07, QT08, QT09, MG01, MG02, SFX24, SFX05, SFX17, MUS07</t>
  </si>
  <si>
    <t xml:space="preserve">S23</t>
  </si>
  <si>
    <t xml:space="preserve">6:38</t>
  </si>
  <si>
    <t xml:space="preserve">weighty, then a turn inward</t>
  </si>
  <si>
    <t xml:space="preserve">Visas were cancelled on both sides. Relations between two old friends sank to their lowest point in decades. · Abroad, Canberra was making choices. · But for some Australian families, the war had already come much closer.</t>
  </si>
  <si>
    <t xml:space="preserve">MAP01, ST13, SFX19, SFX11, MUS06</t>
  </si>
  <si>
    <t xml:space="preserve">S24</t>
  </si>
  <si>
    <t xml:space="preserve">6:53</t>
  </si>
  <si>
    <t xml:space="preserve">CHAPTER 4: Australian Lives</t>
  </si>
  <si>
    <t xml:space="preserve">tender, slow</t>
  </si>
  <si>
    <t xml:space="preserve">Zomi Frankcom grew up in Melbourne. She spent years feeding people in disaster zones. · On the first of April, twenty twenty-four, she and six colleagues from World Central Kitchen were killed, when Israeli drone strikes hit their clearly marked convoy in Gaza.</t>
  </si>
  <si>
    <t xml:space="preserve">PH15, ST13, MAP07, MG01, MG02, MUS06</t>
  </si>
  <si>
    <t xml:space="preserve">S25</t>
  </si>
  <si>
    <t xml:space="preserve">7:16</t>
  </si>
  <si>
    <t xml:space="preserve">steady, three voices read plainly</t>
  </si>
  <si>
    <t xml:space="preserve">Prime Minister Albanese called it, quote, completely unacceptable. · Israel's prime minister said his forces had, quote, unintentionally harmed non-combatants. · Her family said she would leave, quote, a legacy of compassion, bravery and love.</t>
  </si>
  <si>
    <t xml:space="preserve">QT03, QT04, QT05, ST13, MUS06</t>
  </si>
  <si>
    <t xml:space="preserve">S26</t>
  </si>
  <si>
    <t xml:space="preserve">7:30</t>
  </si>
  <si>
    <t xml:space="preserve">factual, gentle</t>
  </si>
  <si>
    <t xml:space="preserve">A former Defence Force chief reviewed Israel's investigation for Australia. He found serious failures, but no evidence the convoy had been knowingly targeted. · In twenty twenty-six, Israel's military cleared its soldiers of criminal wrongdoing. Her family called that a miscarriage of justice.</t>
  </si>
  <si>
    <t xml:space="preserve">DOC06, DOC21, SFX18, MUS06</t>
  </si>
  <si>
    <t xml:space="preserve">S27</t>
  </si>
  <si>
    <t xml:space="preserve">7:48</t>
  </si>
  <si>
    <t xml:space="preserve">empathetic, then even</t>
  </si>
  <si>
    <t xml:space="preserve">Australians were also among those killed or affected in Israel. And Australian-Palestinians lost parents, siblings and cousins in Gaza. · Australia granted thousands of visitor visas to people fleeing Gaza. Supporters called it basic humanity. The opposition said vetting was rushed. The government said every applicant was checked.</t>
  </si>
  <si>
    <t xml:space="preserve">PH18, PH19, AI05, ST09, SFX19, SFX06, MUS06</t>
  </si>
  <si>
    <t xml:space="preserve">S28</t>
  </si>
  <si>
    <t xml:space="preserve">8:07</t>
  </si>
  <si>
    <t xml:space="preserve">quietly ominous</t>
  </si>
  <si>
    <t xml:space="preserve">For these families, the war was never far away. · And at home, it was pulling the country in two.</t>
  </si>
  <si>
    <t xml:space="preserve">MAP01, MG01, SFX21, SFX24, MUS09</t>
  </si>
  <si>
    <t xml:space="preserve">S29</t>
  </si>
  <si>
    <t xml:space="preserve">8:15</t>
  </si>
  <si>
    <t xml:space="preserve">CHAPTER 5: A Country Under Strain</t>
  </si>
  <si>
    <t xml:space="preserve">grave, steady</t>
  </si>
  <si>
    <t xml:space="preserve">It began on the seventh of October, twenty twenty-three. · Hamas-led fighters crossed from Gaza into southern Israel. Around twelve hundred people were killed, most of them civilians, and around two hundred and fifty were taken hostage.</t>
  </si>
  <si>
    <t xml:space="preserve">MAP07, PH18, MG01, SFX04, MUS09</t>
  </si>
  <si>
    <t xml:space="preserve">S30</t>
  </si>
  <si>
    <t xml:space="preserve">8:34</t>
  </si>
  <si>
    <t xml:space="preserve">heavy, careful, then precise and attributed</t>
  </si>
  <si>
    <t xml:space="preserve">It was the deadliest day for Jewish people since the Holocaust. · Israel's military campaign in Gaza lasted two years. · Gaza's Health Ministry, run by Hamas, reported tens of thousands of Palestinians killed. U.N. agencies broadly treated those figures as reliable, and Israel disputed them. · U.N.-backed experts declared famine in parts of the territory.</t>
  </si>
  <si>
    <t xml:space="preserve">PH19, DOC12, DOC11, SFX05, SFX04, SFX18, MUS09</t>
  </si>
  <si>
    <t xml:space="preserve">S31</t>
  </si>
  <si>
    <t xml:space="preserve">9:00</t>
  </si>
  <si>
    <t xml:space="preserve">tense, fair</t>
  </si>
  <si>
    <t xml:space="preserve">Back home, two days after October the seventh, the Opera House sails were lit in Israel's colours. That night, a pro-Palestinian rally gathered below. · Flares were lit, and antisemitic chanting caused national outrage, though a later police review disputed exactly what was said.</t>
  </si>
  <si>
    <t xml:space="preserve">PH16, ST04, DOC17, MG01, SFX24, SFX08, SFX18, MUS09</t>
  </si>
  <si>
    <t xml:space="preserve">S32</t>
  </si>
  <si>
    <t xml:space="preserve">9:18</t>
  </si>
  <si>
    <t xml:space="preserve">even, two matched cases</t>
  </si>
  <si>
    <t xml:space="preserve">The fight moved onto phones and into courtrooms. · The private details of hundreds of Jewish writers and artists were published online, and Parliament made malicious doxxing a crime. · An ABC presenter was taken off air after sharing a human rights report on Gaza, and the Federal Court later found she'd been unlawfully sacked. · Two cases. Opposite sides.</t>
  </si>
  <si>
    <t xml:space="preserve">AI09, DOC08, AI12, DOC07, SFX17, SFX19, SFX15, SFX05, MUS09</t>
  </si>
  <si>
    <t xml:space="preserve">S33</t>
  </si>
  <si>
    <t xml:space="preserve">9:43</t>
  </si>
  <si>
    <t xml:space="preserve">a divided country</t>
  </si>
  <si>
    <t xml:space="preserve">Tens of thousands marched across the Harbour Bridge in the rain. · Jewish groups recorded record numbers of antisemitic incidents. Muslim Australians, especially women wearing the hijab, reported record abuse. · The government appointed two special envoys, one to combat antisemitism, and one to combat Islamophobia.</t>
  </si>
  <si>
    <t xml:space="preserve">PH17, ST15, SFX23, DOC14, DOC15, ST20, ST21, DOC18, MG01, SFX24, SFX05, SFX06, SFX18, MUS09</t>
  </si>
  <si>
    <t xml:space="preserve">S34</t>
  </si>
  <si>
    <t xml:space="preserve">10:02</t>
  </si>
  <si>
    <t xml:space="preserve">realisation, the big payoff</t>
  </si>
  <si>
    <t xml:space="preserve">Now look back. · The fires. The jet parts. The expelled ambassador. The recognition. The court cases. The visas. · All of it, in the two years before Bondi.</t>
  </si>
  <si>
    <t xml:space="preserve">ST16, AI04, QT01, DOC02, DOC07, ST09, MAP01, MG01, SFX24, SFX14, SFX11, MUS09</t>
  </si>
  <si>
    <t xml:space="preserve">S35</t>
  </si>
  <si>
    <t xml:space="preserve">10:22</t>
  </si>
  <si>
    <t xml:space="preserve">hopeful for a beat, then two slow words</t>
  </si>
  <si>
    <t xml:space="preserve">In October twenty twenty-five, a U.S.-brokered ceasefire brought the surviving hostages home. · Many hoped the worst was over. · Sixty-five days later, · it wasn't.</t>
  </si>
  <si>
    <t xml:space="preserve">DOC20, MAP01, MG01, SFX18, SFX24, MUS09</t>
  </si>
  <si>
    <t xml:space="preserve">S36</t>
  </si>
  <si>
    <t xml:space="preserve">10:35</t>
  </si>
  <si>
    <t xml:space="preserve">CHAPTER 6: Bondi</t>
  </si>
  <si>
    <t xml:space="preserve">quiet dread</t>
  </si>
  <si>
    <t xml:space="preserve">Remember the fire, fourteen months earlier, in the same suburb? · Hanukkah is the festival of lights. · On its first night, around a thousand people gathered by the beach to celebrate.</t>
  </si>
  <si>
    <t xml:space="preserve">ST01, ST16, ST13, MG01, SFX13, MUS10</t>
  </si>
  <si>
    <t xml:space="preserve">S37</t>
  </si>
  <si>
    <t xml:space="preserve">10:50</t>
  </si>
  <si>
    <t xml:space="preserve">grief, restrained</t>
  </si>
  <si>
    <t xml:space="preserve">Two gunmen, a father and son, opened fire. Police shot the father dead. His son was arrested. · Fifteen people were killed. Among them, a ten-year-old girl, a retired police officer, a rabbi, and a Holocaust survivor.</t>
  </si>
  <si>
    <t xml:space="preserve">MAP10, PH22, MUS10</t>
  </si>
  <si>
    <t xml:space="preserve">S38</t>
  </si>
  <si>
    <t xml:space="preserve">11:08</t>
  </si>
  <si>
    <t xml:space="preserve">solemn, plain</t>
  </si>
  <si>
    <t xml:space="preserve">That night, the Prime Minister said, quote, · an attack on Jewish Australians is an attack on every Australian.</t>
  </si>
  <si>
    <t xml:space="preserve">QT10, PH22, MUS10</t>
  </si>
  <si>
    <t xml:space="preserve">S39</t>
  </si>
  <si>
    <t xml:space="preserve">11:18</t>
  </si>
  <si>
    <t xml:space="preserve">quiet courage, building</t>
  </si>
  <si>
    <t xml:space="preserve">And in the middle of the horror, one man crouched behind a parked car, waited, and ran at one of the gunmen. · He wrestled the gun away. · He was shot and wounded.</t>
  </si>
  <si>
    <t xml:space="preserve">AI10, MUS10</t>
  </si>
  <si>
    <t xml:space="preserve">S40</t>
  </si>
  <si>
    <t xml:space="preserve">11:32</t>
  </si>
  <si>
    <t xml:space="preserve">warm, a lump in the throat</t>
  </si>
  <si>
    <t xml:space="preserve">His name is Ahmed al Ahmed. · A Syrian-born Muslim. A father of two, who runs a fruit shop. · The attack was aimed at Jewish Australians. · And one of the people who stood in its way was a Muslim Australian.</t>
  </si>
  <si>
    <t xml:space="preserve">PH27, ST19, ST13, MG02, MUS10</t>
  </si>
  <si>
    <t xml:space="preserve">S41</t>
  </si>
  <si>
    <t xml:space="preserve">11:52</t>
  </si>
  <si>
    <t xml:space="preserve">careful, fair</t>
  </si>
  <si>
    <t xml:space="preserve">The Prime Minister called his bravery, quote, an inspiration for all Australians. · Police say the gunmen were inspired by Islamic State. · And some warn that seeing Bondi only through Israel and Gaza risks missing the extremism behind it, or blaming whole communities for the acts of two men.</t>
  </si>
  <si>
    <t xml:space="preserve">QT11, MAP01, MUS10</t>
  </si>
  <si>
    <t xml:space="preserve">S42</t>
  </si>
  <si>
    <t xml:space="preserve">12:13</t>
  </si>
  <si>
    <t xml:space="preserve">steady, then resonant</t>
  </si>
  <si>
    <t xml:space="preserve">Twenty-five days after the attack, the government called a Royal Commission on Antisemitism and Social Cohesion, led by a former Chief Justice. · In February, Israel's President visited Canberra to comfort grieving families. In April, the commission called for tougher national gun laws. · Its final report is due on the fourteenth of December, twenty twenty-six. · One year to the day.</t>
  </si>
  <si>
    <t xml:space="preserve">DOC04, PH13, PH09, DOC05, DOC16, FT06, MAP01, MG01, SFX24, SFX19, SFX21, MUS10, MUS11</t>
  </si>
  <si>
    <t xml:space="preserve">S43</t>
  </si>
  <si>
    <t xml:space="preserve">12:38</t>
  </si>
  <si>
    <t xml:space="preserve">CLOSING</t>
  </si>
  <si>
    <t xml:space="preserve">stillness, then rhythm</t>
  </si>
  <si>
    <t xml:space="preserve">So, what does a war fourteen thousand kilometres away have to do with Bondi? · It didn't pull the trigger. · But for two years, it pulled at the country. A vote Australia cast first. Parts in a fighter jet. Fires paid for from abroad.</t>
  </si>
  <si>
    <t xml:space="preserve">ST02, MAP01, SFX13, SFX06, MUS11</t>
  </si>
  <si>
    <t xml:space="preserve">S44</t>
  </si>
  <si>
    <t xml:space="preserve">12:57</t>
  </si>
  <si>
    <t xml:space="preserve">quiet conviction</t>
  </si>
  <si>
    <t xml:space="preserve">An ambassador expelled. A recognition. Australians grieving on both sides. · A foreign state tried to turn neighbour against neighbour. · On a beach in Bondi, one neighbour ran toward the danger, for another.</t>
  </si>
  <si>
    <t xml:space="preserve">MAP01, SFX06, SFX21, QT02, ST13, MUS11</t>
  </si>
  <si>
    <t xml:space="preserve">S45</t>
  </si>
  <si>
    <t xml:space="preserve">13:14</t>
  </si>
  <si>
    <t xml:space="preserve">warm, final</t>
  </si>
  <si>
    <t xml:space="preserve">Maybe the real question isn't about the Middle East at all. It's whether a country built by people from everywhere can hold two communities' grief at the same time, without asking either to give up theirs. · What Australia does next will say less about Gaza, · and more about us.</t>
  </si>
  <si>
    <t xml:space="preserve">PH05, PH03, PH04, PH15, PH22, AI11, ST17, MUS11, MUS12</t>
  </si>
  <si>
    <t xml:space="preserve">S46</t>
  </si>
  <si>
    <t xml:space="preserve">13:41</t>
  </si>
  <si>
    <t xml:space="preserve">gentle, caring</t>
  </si>
  <si>
    <t xml:space="preserve">Is this Australia's issue? Tell us what you think. · And if any of this has been hard to watch, you're not alone. Support details are in the description.</t>
  </si>
  <si>
    <t xml:space="preserve">MUS12, SFX06</t>
  </si>
  <si>
    <t xml:space="preserve">ID</t>
  </si>
  <si>
    <t xml:space="preserve">Asset</t>
  </si>
  <si>
    <t xml:space="preserve">File name</t>
  </si>
  <si>
    <t xml:space="preserve">Used in segments</t>
  </si>
  <si>
    <t xml:space="preserve">Starts at (approx)</t>
  </si>
  <si>
    <t xml:space="preserve">Free source</t>
  </si>
  <si>
    <t xml:space="preserve">Search terms / AI prompt</t>
  </si>
  <si>
    <t xml:space="preserve">Licence &amp; credit rule</t>
  </si>
  <si>
    <t xml:space="preserve">Key</t>
  </si>
  <si>
    <t xml:space="preserve">FREE SWAP fallback</t>
  </si>
  <si>
    <t xml:space="preserve">Cost ($)</t>
  </si>
  <si>
    <t xml:space="preserve">Status</t>
  </si>
  <si>
    <t xml:space="preserve">Credit line (copy from source)</t>
  </si>
  <si>
    <t xml:space="preserve">Notes</t>
  </si>
  <si>
    <t xml:space="preserve">FT01</t>
  </si>
  <si>
    <t xml:space="preserve">F-35 take-off and flight</t>
  </si>
  <si>
    <t xml:space="preserve">FT01_f35_takeoff.mp4</t>
  </si>
  <si>
    <t xml:space="preserve">DVIDS (dvidshub.net)</t>
  </si>
  <si>
    <t xml:space="preserve">F-35A takeoff; F-35 flyby; RAAF F-35</t>
  </si>
  <si>
    <t xml:space="preserve">US Government work, public domain. Credit: DVIDS</t>
  </si>
  <si>
    <t xml:space="preserve">🟢</t>
  </si>
  <si>
    <t xml:space="preserve">PH25 with PAN</t>
  </si>
  <si>
    <t xml:space="preserve">Not started</t>
  </si>
  <si>
    <t xml:space="preserve">FT02</t>
  </si>
  <si>
    <t xml:space="preserve">Light Horse in Palestine, 1917</t>
  </si>
  <si>
    <t xml:space="preserve">FT02_light_horse_1917.mp4</t>
  </si>
  <si>
    <t xml:space="preserve">Australian War Memorial collection (awm.gov.au/collection) — film</t>
  </si>
  <si>
    <t xml:space="preserve">light horse palestine 1917 film</t>
  </si>
  <si>
    <t xml:space="preserve">Pre-1955 AWM film is public domain. Credit: AWM + item ID</t>
  </si>
  <si>
    <t xml:space="preserve">PH02 with PAN + AI03</t>
  </si>
  <si>
    <t xml:space="preserve">FT04</t>
  </si>
  <si>
    <t xml:space="preserve">UN General Assembly, September 2025 (recognition)</t>
  </si>
  <si>
    <t xml:space="preserve">FT04_unga_sep2025.mp4</t>
  </si>
  <si>
    <t xml:space="preserve">UN Web TV (webtv.un.org)</t>
  </si>
  <si>
    <t xml:space="preserve">two-state solution conference September 2025 general assembly</t>
  </si>
  <si>
    <t xml:space="preserve">Free with credit 'UN Web TV'. Confirm UN terms for online channels before publish</t>
  </si>
  <si>
    <t xml:space="preserve">🟡</t>
  </si>
  <si>
    <t xml:space="preserve">MAP08 recognition map + DOC09 card</t>
  </si>
  <si>
    <t xml:space="preserve">FT05</t>
  </si>
  <si>
    <t xml:space="preserve">UN General Assembly, 1947</t>
  </si>
  <si>
    <t xml:space="preserve">FT05_unga_1947.mp4</t>
  </si>
  <si>
    <t xml:space="preserve">UN Audiovisual Library (un.org/av) — search archive</t>
  </si>
  <si>
    <t xml:space="preserve">general assembly 1947 partition vote</t>
  </si>
  <si>
    <t xml:space="preserve">Free with credit if UN terms allow online use; confirm</t>
  </si>
  <si>
    <t xml:space="preserve">PH26 + DOC01/DOC02 with ZOOM + MAP03</t>
  </si>
  <si>
    <t xml:space="preserve">FT06</t>
  </si>
  <si>
    <t xml:space="preserve">Parliament condolence motion after Bondi (if available)</t>
  </si>
  <si>
    <t xml:space="preserve">FT06_bondi_condolence.mp4</t>
  </si>
  <si>
    <t xml:space="preserve">ParlView</t>
  </si>
  <si>
    <t xml:space="preserve">condolence motion Bondi February 2026</t>
  </si>
  <si>
    <t xml:space="preserve">Parliament's conditions. Credit: Parliament of Australia</t>
  </si>
  <si>
    <t xml:space="preserve">PH22 memorial photo + DOC04</t>
  </si>
  <si>
    <t xml:space="preserve">FT07</t>
  </si>
  <si>
    <t xml:space="preserve">Sussan Ley in the House, 26 Aug 2025 ('neighbour against neighbour')</t>
  </si>
  <si>
    <t xml:space="preserve">FT07_ley_house_26aug2025.mp4</t>
  </si>
  <si>
    <t xml:space="preserve">ParlView (aph.gov.au)</t>
  </si>
  <si>
    <t xml:space="preserve">House of Representatives 26 August 2025 Iran statement Ley</t>
  </si>
  <si>
    <t xml:space="preserve">Free under Parliament's broadcast conditions; credit Parliament of Australia</t>
  </si>
  <si>
    <t xml:space="preserve">QT02 card + PH29</t>
  </si>
  <si>
    <t xml:space="preserve">PH02</t>
  </si>
  <si>
    <t xml:space="preserve">Light Horse at Beersheba</t>
  </si>
  <si>
    <t xml:space="preserve">PH02_beersheba_light_horse.jpg</t>
  </si>
  <si>
    <t xml:space="preserve">Australian War Memorial collection</t>
  </si>
  <si>
    <t xml:space="preserve">beersheba 1917 light horse</t>
  </si>
  <si>
    <t xml:space="preserve">Public domain. Credit: AWM + ID</t>
  </si>
  <si>
    <t xml:space="preserve">AI03</t>
  </si>
  <si>
    <t xml:space="preserve">PH03</t>
  </si>
  <si>
    <t xml:space="preserve">Israeli independence celebrations, 1948</t>
  </si>
  <si>
    <t xml:space="preserve">PH03_israel_1948_celebration.jpg</t>
  </si>
  <si>
    <t xml:space="preserve">S15, S45</t>
  </si>
  <si>
    <t xml:space="preserve">3:58, 13:14</t>
  </si>
  <si>
    <t xml:space="preserve">Israel GPO National Photo Collection / Wikimedia Commons (commons.wikimedia.org)</t>
  </si>
  <si>
    <t xml:space="preserve">1948 independence celebration Tel Aviv</t>
  </si>
  <si>
    <t xml:space="preserve">Free with credit 'GPO' (check file page)</t>
  </si>
  <si>
    <t xml:space="preserve">MAP03 + kinetic text</t>
  </si>
  <si>
    <t xml:space="preserve">PH04</t>
  </si>
  <si>
    <t xml:space="preserve">Palestinian refugees, 1948</t>
  </si>
  <si>
    <t xml:space="preserve">PH04_palestinian_refugees_1948.jpg</t>
  </si>
  <si>
    <t xml:space="preserve">Wikimedia Commons (commons.wikimedia.org)</t>
  </si>
  <si>
    <t xml:space="preserve">Palestinian refugees 1948</t>
  </si>
  <si>
    <t xml:space="preserve">Public domain files exist on Commons — confirm per file</t>
  </si>
  <si>
    <t xml:space="preserve">PH05</t>
  </si>
  <si>
    <t xml:space="preserve">Post-war migrants at Station Pier, Melbourne</t>
  </si>
  <si>
    <t xml:space="preserve">PH05_station_pier_migrants.jpg</t>
  </si>
  <si>
    <t xml:space="preserve">S16, S45</t>
  </si>
  <si>
    <t xml:space="preserve">4:22, 13:14</t>
  </si>
  <si>
    <t xml:space="preserve">National Archives of Australia (PhotoSearch) / Wikimedia Commons (commons.wikimedia.org)</t>
  </si>
  <si>
    <t xml:space="preserve">Station Pier migrants 1950</t>
  </si>
  <si>
    <t xml:space="preserve">NAA: copyright expired items free; credit NAA + barcode</t>
  </si>
  <si>
    <t xml:space="preserve">AI05</t>
  </si>
  <si>
    <t xml:space="preserve">PH06</t>
  </si>
  <si>
    <t xml:space="preserve">1970s Lebanese/Arab migrant families arriving</t>
  </si>
  <si>
    <t xml:space="preserve">PH06_1970s_arrivals.jpg</t>
  </si>
  <si>
    <t xml:space="preserve">National Archives of Australia (PhotoSearch)</t>
  </si>
  <si>
    <t xml:space="preserve">Lebanese migrants 1976 arrival Sydney</t>
  </si>
  <si>
    <t xml:space="preserve">Check copyright status per item; credit NAA</t>
  </si>
  <si>
    <t xml:space="preserve">PH07</t>
  </si>
  <si>
    <t xml:space="preserve">Anthony Albanese portrait</t>
  </si>
  <si>
    <t xml:space="preserve">PH07_albanese.jpg</t>
  </si>
  <si>
    <t xml:space="preserve">S10, S20, S22</t>
  </si>
  <si>
    <t xml:space="preserve">2:25, 5:35, 6:22</t>
  </si>
  <si>
    <t xml:space="preserve">Anthony Albanese official portrait</t>
  </si>
  <si>
    <t xml:space="preserve">Licence on file page (often CC BY / PD). Credit as listed</t>
  </si>
  <si>
    <t xml:space="preserve">Name card</t>
  </si>
  <si>
    <t xml:space="preserve">PH09</t>
  </si>
  <si>
    <t xml:space="preserve">Isaac Herzog portrait</t>
  </si>
  <si>
    <t xml:space="preserve">PH09_herzog.jpg</t>
  </si>
  <si>
    <t xml:space="preserve">Wikimedia Commons (commons.wikimedia.org) (GPO uploads)</t>
  </si>
  <si>
    <t xml:space="preserve">Isaac Herzog official</t>
  </si>
  <si>
    <t xml:space="preserve">As file page</t>
  </si>
  <si>
    <t xml:space="preserve">PH10</t>
  </si>
  <si>
    <t xml:space="preserve">Benjamin Netanyahu portrait</t>
  </si>
  <si>
    <t xml:space="preserve">PH10_netanyahu.jpg</t>
  </si>
  <si>
    <t xml:space="preserve">Benjamin Netanyahu official</t>
  </si>
  <si>
    <t xml:space="preserve">PH13</t>
  </si>
  <si>
    <t xml:space="preserve">Virginia Bell portrait</t>
  </si>
  <si>
    <t xml:space="preserve">PH13_virginia_bell.jpg</t>
  </si>
  <si>
    <t xml:space="preserve">Virginia Bell judge</t>
  </si>
  <si>
    <t xml:space="preserve">As file page; if none use fallback</t>
  </si>
  <si>
    <t xml:space="preserve">Name card + DOC04</t>
  </si>
  <si>
    <t xml:space="preserve">PH15</t>
  </si>
  <si>
    <t xml:space="preserve">Zomi Frankcom portrait</t>
  </si>
  <si>
    <t xml:space="preserve">PH15_zomi_frankcom.jpg</t>
  </si>
  <si>
    <t xml:space="preserve">S24, S45</t>
  </si>
  <si>
    <t xml:space="preserve">6:53, 13:14</t>
  </si>
  <si>
    <t xml:space="preserve">Only with written family permission (contact via World Central Kitchen media)</t>
  </si>
  <si>
    <t xml:space="preserve">—</t>
  </si>
  <si>
    <t xml:space="preserve">Permission email saved before use</t>
  </si>
  <si>
    <t xml:space="preserve">Name card on paper + soft candle light (ST13) — no AI likeness</t>
  </si>
  <si>
    <t xml:space="preserve">PH16</t>
  </si>
  <si>
    <t xml:space="preserve">Opera House lit blue and white, 9 Oct 2023</t>
  </si>
  <si>
    <t xml:space="preserve">PH16_opera_house_oct2023.jpg</t>
  </si>
  <si>
    <t xml:space="preserve">S02, S31</t>
  </si>
  <si>
    <t xml:space="preserve">0:19, 9:00</t>
  </si>
  <si>
    <t xml:space="preserve">Sydney Opera House October 2023 Israel lit</t>
  </si>
  <si>
    <t xml:space="preserve">CC licence on file page; credit</t>
  </si>
  <si>
    <t xml:space="preserve">ST04 night + kinetic text</t>
  </si>
  <si>
    <t xml:space="preserve">PH17</t>
  </si>
  <si>
    <t xml:space="preserve">Harbour Bridge march, Aug 2025</t>
  </si>
  <si>
    <t xml:space="preserve">PH17_harbour_bridge_march.jpg</t>
  </si>
  <si>
    <t xml:space="preserve">S02, S33</t>
  </si>
  <si>
    <t xml:space="preserve">0:19, 9:43</t>
  </si>
  <si>
    <t xml:space="preserve">March for Humanity Sydney Harbour Bridge 2025</t>
  </si>
  <si>
    <t xml:space="preserve">CC licence on file page; blur faces</t>
  </si>
  <si>
    <t xml:space="preserve">ST15 rain crowd + MAP route line</t>
  </si>
  <si>
    <t xml:space="preserve">PH18</t>
  </si>
  <si>
    <t xml:space="preserve">7 October aftermath (damaged homes, non-graphic)</t>
  </si>
  <si>
    <t xml:space="preserve">PH18_oct7_kibbutz_damage.jpg</t>
  </si>
  <si>
    <t xml:space="preserve">S27, S29</t>
  </si>
  <si>
    <t xml:space="preserve">7:48, 8:15</t>
  </si>
  <si>
    <t xml:space="preserve">Israel GPO / Wikimedia Commons (commons.wikimedia.org)</t>
  </si>
  <si>
    <t xml:space="preserve">Kfar Aza damaged houses October 2023</t>
  </si>
  <si>
    <t xml:space="preserve">Free with credit; NO bodies or victims</t>
  </si>
  <si>
    <t xml:space="preserve">DOC + MAP07</t>
  </si>
  <si>
    <t xml:space="preserve">PH19</t>
  </si>
  <si>
    <t xml:space="preserve">Gaza destruction (non-graphic)</t>
  </si>
  <si>
    <t xml:space="preserve">PH19_gaza_destruction.jpg</t>
  </si>
  <si>
    <t xml:space="preserve">S27, S30</t>
  </si>
  <si>
    <t xml:space="preserve">7:48, 8:34</t>
  </si>
  <si>
    <t xml:space="preserve">Wikimedia Commons (commons.wikimedia.org) (WAFA uploads are CC BY-SA 3.0)</t>
  </si>
  <si>
    <t xml:space="preserve">Gaza destruction 2024 WAFA</t>
  </si>
  <si>
    <t xml:space="preserve">CC BY-SA 3.0 — credit 'WAFA'; NO bodies</t>
  </si>
  <si>
    <t xml:space="preserve">MAP07 + MG casualty card</t>
  </si>
  <si>
    <t xml:space="preserve">PH20</t>
  </si>
  <si>
    <t xml:space="preserve">Adass Israel Synagogue fire damage</t>
  </si>
  <si>
    <t xml:space="preserve">PH20_adass_israel.jpg</t>
  </si>
  <si>
    <t xml:space="preserve">S04, S10</t>
  </si>
  <si>
    <t xml:space="preserve">0:50, 2:25</t>
  </si>
  <si>
    <t xml:space="preserve">Adass Israel Synagogue Ripponlea 2024</t>
  </si>
  <si>
    <t xml:space="preserve">CC licence on file page; if none use fallback</t>
  </si>
  <si>
    <t xml:space="preserve">AI01b illustrative + DOC03</t>
  </si>
  <si>
    <t xml:space="preserve">PH21</t>
  </si>
  <si>
    <t xml:space="preserve">Bondi kosher restaurant after the fire</t>
  </si>
  <si>
    <t xml:space="preserve">PH21_bondi_restaurant.jpg</t>
  </si>
  <si>
    <t xml:space="preserve">Lewis Continental Kitchen Bondi fire</t>
  </si>
  <si>
    <t xml:space="preserve">If none exists use fallback</t>
  </si>
  <si>
    <t xml:space="preserve">AI01 (labelled reconstruction)</t>
  </si>
  <si>
    <t xml:space="preserve">PH22</t>
  </si>
  <si>
    <t xml:space="preserve">Bondi memorial, Dec 2025</t>
  </si>
  <si>
    <t xml:space="preserve">PH22_bondi_memorial.jpg</t>
  </si>
  <si>
    <t xml:space="preserve">S01, S02, S37, S38, S45</t>
  </si>
  <si>
    <t xml:space="preserve">0:00, 0:19, 10:50, 11:08, 13:14</t>
  </si>
  <si>
    <t xml:space="preserve">Wikimedia Commons (commons.wikimedia.org) (or your own photo of the memorial)</t>
  </si>
  <si>
    <t xml:space="preserve">Bondi memorial December 2025</t>
  </si>
  <si>
    <t xml:space="preserve">CC licence / own photo. No victims' faces</t>
  </si>
  <si>
    <t xml:space="preserve">ST13 candles + MAP10</t>
  </si>
  <si>
    <t xml:space="preserve">PH24</t>
  </si>
  <si>
    <t xml:space="preserve">ASIO headquarters, Canberra</t>
  </si>
  <si>
    <t xml:space="preserve">PH24_asio_hq.jpg</t>
  </si>
  <si>
    <t xml:space="preserve">S02, S08</t>
  </si>
  <si>
    <t xml:space="preserve">0:19, 1:54</t>
  </si>
  <si>
    <t xml:space="preserve">Ben Chifley Building ASIO</t>
  </si>
  <si>
    <t xml:space="preserve">CC licence on file page</t>
  </si>
  <si>
    <t xml:space="preserve">AI06</t>
  </si>
  <si>
    <t xml:space="preserve">PH26</t>
  </si>
  <si>
    <t xml:space="preserve">UN General Assembly 1947 vote</t>
  </si>
  <si>
    <t xml:space="preserve">PH26_un_1947.jpg</t>
  </si>
  <si>
    <t xml:space="preserve">Wikimedia Commons (commons.wikimedia.org) / UN Photo</t>
  </si>
  <si>
    <t xml:space="preserve">UN General Assembly 1947 partition vote</t>
  </si>
  <si>
    <t xml:space="preserve">Check file page; UN Photo requires credit</t>
  </si>
  <si>
    <t xml:space="preserve">DOC02 with ZOOM</t>
  </si>
  <si>
    <t xml:space="preserve">PH27</t>
  </si>
  <si>
    <t xml:space="preserve">Ahmed al Ahmed (real photo only)</t>
  </si>
  <si>
    <t xml:space="preserve">PH27_ahmed_al_ahmed.jpg</t>
  </si>
  <si>
    <t xml:space="preserve">Wikimedia Commons (commons.wikimedia.org) — use only if a freely licensed file exists</t>
  </si>
  <si>
    <t xml:space="preserve">Ahmed al Ahmed Bondi</t>
  </si>
  <si>
    <t xml:space="preserve">Free licence on file page; NEVER AI or illustrated likeness</t>
  </si>
  <si>
    <t xml:space="preserve">Name card AHMED AL AHMED + ST19</t>
  </si>
  <si>
    <t xml:space="preserve">PH29</t>
  </si>
  <si>
    <t xml:space="preserve">Sussan Ley portrait</t>
  </si>
  <si>
    <t xml:space="preserve">PH29_ley.jpg</t>
  </si>
  <si>
    <t xml:space="preserve">Wikimedia Commons (commons.wikimedia.org) / aph.gov.au</t>
  </si>
  <si>
    <t xml:space="preserve">Sussan Ley</t>
  </si>
  <si>
    <t xml:space="preserve">ST01</t>
  </si>
  <si>
    <t xml:space="preserve">Bondi Beach aerial at dusk</t>
  </si>
  <si>
    <t xml:space="preserve">ST01_bondi_dusk_aerial.mp4</t>
  </si>
  <si>
    <t xml:space="preserve">S06, S36</t>
  </si>
  <si>
    <t xml:space="preserve">1:21, 10:35</t>
  </si>
  <si>
    <t xml:space="preserve">Pexels / Pixabay / Mixkit (free stock)</t>
  </si>
  <si>
    <t xml:space="preserve">bondi beach aerial sunset; sydney beach drone dusk</t>
  </si>
  <si>
    <t xml:space="preserve">Free licence; no credit needed (credit anyway)</t>
  </si>
  <si>
    <t xml:space="preserve">FREE SWAP</t>
  </si>
  <si>
    <t xml:space="preserve">Any Sydney beach dusk aerial</t>
  </si>
  <si>
    <t xml:space="preserve">ST02</t>
  </si>
  <si>
    <t xml:space="preserve">Bondi Beach aerial at dawn</t>
  </si>
  <si>
    <t xml:space="preserve">ST02_bondi_dawn_aerial.mp4</t>
  </si>
  <si>
    <t xml:space="preserve">S01, S43</t>
  </si>
  <si>
    <t xml:space="preserve">0:00, 12:38</t>
  </si>
  <si>
    <t xml:space="preserve">bondi beach morning aerial; sydney sunrise beach drone</t>
  </si>
  <si>
    <t xml:space="preserve">Free licence</t>
  </si>
  <si>
    <t xml:space="preserve">Any Sydney beach sunrise aerial</t>
  </si>
  <si>
    <t xml:space="preserve">ST03</t>
  </si>
  <si>
    <t xml:space="preserve">Quiet Sydney street at night</t>
  </si>
  <si>
    <t xml:space="preserve">ST03_sydney_street_night.mp4</t>
  </si>
  <si>
    <t xml:space="preserve">S04, S17</t>
  </si>
  <si>
    <t xml:space="preserve">0:50, 4:43</t>
  </si>
  <si>
    <t xml:space="preserve">sydney street night; empty street night rain</t>
  </si>
  <si>
    <t xml:space="preserve">Any wet city street at night</t>
  </si>
  <si>
    <t xml:space="preserve">ST04</t>
  </si>
  <si>
    <t xml:space="preserve">Sydney Opera House, night</t>
  </si>
  <si>
    <t xml:space="preserve">ST04_opera_house_night.mp4</t>
  </si>
  <si>
    <t xml:space="preserve">sydney opera house night</t>
  </si>
  <si>
    <t xml:space="preserve">Opera House day</t>
  </si>
  <si>
    <t xml:space="preserve">ST05</t>
  </si>
  <si>
    <t xml:space="preserve">Parliament House, Canberra</t>
  </si>
  <si>
    <t xml:space="preserve">ST05_parliament_house.mp4</t>
  </si>
  <si>
    <t xml:space="preserve">parliament house canberra</t>
  </si>
  <si>
    <t xml:space="preserve">AI07 generic building — no</t>
  </si>
  <si>
    <t xml:space="preserve">ST06</t>
  </si>
  <si>
    <t xml:space="preserve">Desert dunes with wind</t>
  </si>
  <si>
    <t xml:space="preserve">ST06_desert_wind.mp4</t>
  </si>
  <si>
    <t xml:space="preserve">desert sand wind dunes</t>
  </si>
  <si>
    <t xml:space="preserve">ST07</t>
  </si>
  <si>
    <t xml:space="preserve">CNC machining with sparks</t>
  </si>
  <si>
    <t xml:space="preserve">ST07_cnc_sparks.mp4</t>
  </si>
  <si>
    <t xml:space="preserve">cnc machine sparks; metal machining</t>
  </si>
  <si>
    <t xml:space="preserve">AI04</t>
  </si>
  <si>
    <t xml:space="preserve">ST09</t>
  </si>
  <si>
    <t xml:space="preserve">Airport arrivals, families embracing</t>
  </si>
  <si>
    <t xml:space="preserve">ST09_airport_hug.mp4</t>
  </si>
  <si>
    <t xml:space="preserve">S02, S27, S34</t>
  </si>
  <si>
    <t xml:space="preserve">0:19, 7:48, 10:02</t>
  </si>
  <si>
    <t xml:space="preserve">airport arrivals hug family</t>
  </si>
  <si>
    <t xml:space="preserve">ST12</t>
  </si>
  <si>
    <t xml:space="preserve">Courthouse exterior</t>
  </si>
  <si>
    <t xml:space="preserve">ST12_courthouse.mp4</t>
  </si>
  <si>
    <t xml:space="preserve">courthouse exterior columns</t>
  </si>
  <si>
    <t xml:space="preserve">DOC07 ZOOM</t>
  </si>
  <si>
    <t xml:space="preserve">ST13</t>
  </si>
  <si>
    <t xml:space="preserve">Candles and flowers at night</t>
  </si>
  <si>
    <t xml:space="preserve">ST13_candles_flowers.mp4</t>
  </si>
  <si>
    <t xml:space="preserve">S02, S23, S24, S25, S36, S40, S44</t>
  </si>
  <si>
    <t xml:space="preserve">0:19, 6:38, 6:53, 7:16, 10:35, 11:32 …</t>
  </si>
  <si>
    <t xml:space="preserve">memorial candles flowers night</t>
  </si>
  <si>
    <t xml:space="preserve">Single candle on black</t>
  </si>
  <si>
    <t xml:space="preserve">ST15</t>
  </si>
  <si>
    <t xml:space="preserve">Crowd with umbrellas in rain</t>
  </si>
  <si>
    <t xml:space="preserve">ST15_rain_crowd.mp4</t>
  </si>
  <si>
    <t xml:space="preserve">crowd rain umbrellas city</t>
  </si>
  <si>
    <t xml:space="preserve">Free licence; no readable placards</t>
  </si>
  <si>
    <t xml:space="preserve">ST16</t>
  </si>
  <si>
    <t xml:space="preserve">Flames close-up on black</t>
  </si>
  <si>
    <t xml:space="preserve">ST16_flames_black.mp4</t>
  </si>
  <si>
    <t xml:space="preserve">S03, S12, S34, S36</t>
  </si>
  <si>
    <t xml:space="preserve">0:38, 3:05, 10:02, 10:35</t>
  </si>
  <si>
    <t xml:space="preserve">fire flames black background</t>
  </si>
  <si>
    <t xml:space="preserve">AI01</t>
  </si>
  <si>
    <t xml:space="preserve">ST17</t>
  </si>
  <si>
    <t xml:space="preserve">Ocean waves, morning</t>
  </si>
  <si>
    <t xml:space="preserve">ST17_waves_morning.mp4</t>
  </si>
  <si>
    <t xml:space="preserve">ocean waves morning slow motion</t>
  </si>
  <si>
    <t xml:space="preserve">ST19</t>
  </si>
  <si>
    <t xml:space="preserve">Fruit crates at a morning market (no faces)</t>
  </si>
  <si>
    <t xml:space="preserve">ST19_fruit_crates.mp4</t>
  </si>
  <si>
    <t xml:space="preserve">fruit market crates morning; fresh fruit stall</t>
  </si>
  <si>
    <t xml:space="preserve">Warm morning street</t>
  </si>
  <si>
    <t xml:space="preserve">ST20</t>
  </si>
  <si>
    <t xml:space="preserve">Synagogue exterior (respectful, generic)</t>
  </si>
  <si>
    <t xml:space="preserve">ST20_synagogue_exterior.mp4</t>
  </si>
  <si>
    <t xml:space="preserve">Pexels / Pixabay (free stock)</t>
  </si>
  <si>
    <t xml:space="preserve">synagogue exterior</t>
  </si>
  <si>
    <t xml:space="preserve">Free licence; no security details visible</t>
  </si>
  <si>
    <t xml:space="preserve">Chart only</t>
  </si>
  <si>
    <t xml:space="preserve">ST21</t>
  </si>
  <si>
    <t xml:space="preserve">Mosque exterior (respectful, generic)</t>
  </si>
  <si>
    <t xml:space="preserve">ST21_mosque_exterior.mp4</t>
  </si>
  <si>
    <t xml:space="preserve">mosque exterior</t>
  </si>
  <si>
    <t xml:space="preserve">Free licence; same framing and duration as ST20</t>
  </si>
  <si>
    <t xml:space="preserve">Restaurant shopfront at night, glow inside</t>
  </si>
  <si>
    <t xml:space="preserve">AI01_restaurant_glow.mp4</t>
  </si>
  <si>
    <t xml:space="preserve">Grok Imagine (your Grok account). Backup free tiers: Kling, Hailuo, Pika</t>
  </si>
  <si>
    <t xml:space="preserve">Small suburban restaurant shopfront on a quiet Australian beachside street at night, warm orange glow slowly growing behind the window, wet asphalt reflecting a streetlight, no people, no readable signage, slow push-in</t>
  </si>
  <si>
    <t xml:space="preserve">Your Grok account terms. Label 'Dramatised reconstruction' on screen</t>
  </si>
  <si>
    <t xml:space="preserve">ST16 flames</t>
  </si>
  <si>
    <t xml:space="preserve">AI02</t>
  </si>
  <si>
    <t xml:space="preserve">Hands passing a cash envelope</t>
  </si>
  <si>
    <t xml:space="preserve">AI02_envelope_hands.mp4</t>
  </si>
  <si>
    <t xml:space="preserve">Close-up of two anonymous hands exchanging a thick paper envelope under a harsh streetlight at night, faces out of frame, noir mood, slow motion</t>
  </si>
  <si>
    <t xml:space="preserve">Symbolic; label 'Dramatised reconstruction'</t>
  </si>
  <si>
    <t xml:space="preserve">Kinetic text only</t>
  </si>
  <si>
    <t xml:space="preserve">Cavalry silhouettes at sunset</t>
  </si>
  <si>
    <t xml:space="preserve">AI03_cavalry_silhouettes.mp4</t>
  </si>
  <si>
    <t xml:space="preserve">Silhouettes of First World War cavalry riders galloping across desert dunes at sunset, backlit dust clouds, wide shot, warm sepia grade, no faces visible</t>
  </si>
  <si>
    <t xml:space="preserve">Label 'Dramatised reconstruction'</t>
  </si>
  <si>
    <t xml:space="preserve">PH02 PAN</t>
  </si>
  <si>
    <t xml:space="preserve">Machined metal part rotating on black</t>
  </si>
  <si>
    <t xml:space="preserve">AI04_metal_part.mp4</t>
  </si>
  <si>
    <t xml:space="preserve">S18, S34</t>
  </si>
  <si>
    <t xml:space="preserve">4:57, 10:02</t>
  </si>
  <si>
    <t xml:space="preserve">A precision-machined aluminium aerospace component slowly rotating on a pure black background, rim lighting, macro detail, product-shot style, seamless loop (generic part)</t>
  </si>
  <si>
    <t xml:space="preserve">Symbolic</t>
  </si>
  <si>
    <t xml:space="preserve">Two suitcases on a ship deck at dawn</t>
  </si>
  <si>
    <t xml:space="preserve">AI05_suitcases_ship.mp4</t>
  </si>
  <si>
    <t xml:space="preserve">S16, S27</t>
  </si>
  <si>
    <t xml:space="preserve">4:22, 7:48</t>
  </si>
  <si>
    <t xml:space="preserve">Two worn vintage leather suitcases on the wooden deck of an old passenger ship at dawn, sea mist, warm light, slow dolly, 1950s film look</t>
  </si>
  <si>
    <t xml:space="preserve">PH05 PAN</t>
  </si>
  <si>
    <t xml:space="preserve">AI07</t>
  </si>
  <si>
    <t xml:space="preserve">Heavy diplomatic door closing</t>
  </si>
  <si>
    <t xml:space="preserve">AI07_door_closing.mp4</t>
  </si>
  <si>
    <t xml:space="preserve">Heavy ornate wooden door of a stately building slowly closing, brass handle, dramatic side light, no flags, no symbols</t>
  </si>
  <si>
    <t xml:space="preserve">Kinetic text + SFX door</t>
  </si>
  <si>
    <t xml:space="preserve">AI09</t>
  </si>
  <si>
    <t xml:space="preserve">Phones lighting up in the dark</t>
  </si>
  <si>
    <t xml:space="preserve">AI09_phones_notifications.mp4</t>
  </si>
  <si>
    <t xml:space="preserve">Several smartphones lying on a dark table, screens lighting up one after another with blurred unreadable notifications, cold blue light</t>
  </si>
  <si>
    <t xml:space="preserve">ST11</t>
  </si>
  <si>
    <t xml:space="preserve">AI10</t>
  </si>
  <si>
    <t xml:space="preserve">One hand steadying another</t>
  </si>
  <si>
    <t xml:space="preserve">AI10_hand_steadying.mp4</t>
  </si>
  <si>
    <t xml:space="preserve">Close-up of one hand reaching out to firmly steady another hand, soft dusk light, shallow depth of field, no faces, calm, slow motion</t>
  </si>
  <si>
    <t xml:space="preserve">Symbolic; must stay abstract — no depiction of the attack</t>
  </si>
  <si>
    <t xml:space="preserve">ST13 candle</t>
  </si>
  <si>
    <t xml:space="preserve">AI11</t>
  </si>
  <si>
    <t xml:space="preserve">Hands of different ages holding</t>
  </si>
  <si>
    <t xml:space="preserve">AI11_hands_together.mp4</t>
  </si>
  <si>
    <t xml:space="preserve">Close-up of several hands of different ages gently holding each other, warm morning light, soft-focus ocean behind, hopeful, slow motion</t>
  </si>
  <si>
    <t xml:space="preserve">ST17 waves</t>
  </si>
  <si>
    <t xml:space="preserve">AI12</t>
  </si>
  <si>
    <t xml:space="preserve">Empty radio/news desk at night</t>
  </si>
  <si>
    <t xml:space="preserve">AI12_news_desk.mp4</t>
  </si>
  <si>
    <t xml:space="preserve">Empty broadcast studio at night, a single microphone under a spotlight, monitors glowing with blurred unreadable text, slow push-in</t>
  </si>
  <si>
    <t xml:space="preserve">QT01</t>
  </si>
  <si>
    <t xml:space="preserve">Albanese: "extraordinary and dangerous acts of aggression orchestrated by a foreign nation on Australian soil" (26 Aug 2025)</t>
  </si>
  <si>
    <t xml:space="preserve">QT01_albanese_iran.png</t>
  </si>
  <si>
    <t xml:space="preserve">S10, S34</t>
  </si>
  <si>
    <t xml:space="preserve">2:25, 10:02</t>
  </si>
  <si>
    <t xml:space="preserve">Built by the pipeline as a quote card (no download). Open the primary source to confirm exact wording</t>
  </si>
  <si>
    <t xml:space="preserve">pm.gov.au transcript, 26 Aug 2025</t>
  </si>
  <si>
    <t xml:space="preserve">Short quote, attributed, news reporting</t>
  </si>
  <si>
    <t xml:space="preserve">QT02</t>
  </si>
  <si>
    <t xml:space="preserve">Sussan Ley: "turn neighbour against neighbour and Australian against Australian" (26 Aug 2025)</t>
  </si>
  <si>
    <t xml:space="preserve">QT02_ley_neighbour.png</t>
  </si>
  <si>
    <t xml:space="preserve">S11, S44</t>
  </si>
  <si>
    <t xml:space="preserve">2:47, 12:57</t>
  </si>
  <si>
    <t xml:space="preserve">Hansard, House of Representatives, 26 Aug 2025</t>
  </si>
  <si>
    <t xml:space="preserve">Short quote, attributed</t>
  </si>
  <si>
    <t xml:space="preserve">QT03</t>
  </si>
  <si>
    <t xml:space="preserve">Albanese on Zomi Frankcom: "completely unacceptable" (Apr 2024)</t>
  </si>
  <si>
    <t xml:space="preserve">QT03_albanese_frankcom.png</t>
  </si>
  <si>
    <t xml:space="preserve">PM Transcripts (pmtranscripts.pmc.gov.au), April 2024</t>
  </si>
  <si>
    <t xml:space="preserve">QT04</t>
  </si>
  <si>
    <t xml:space="preserve">Netanyahu: forces "unintentionally harmed non-combatants" (2 Apr 2024)</t>
  </si>
  <si>
    <t xml:space="preserve">QT04_netanyahu_wck.png</t>
  </si>
  <si>
    <t xml:space="preserve">Israeli PM's video statement, 2 Apr 2024</t>
  </si>
  <si>
    <t xml:space="preserve">QT05</t>
  </si>
  <si>
    <t xml:space="preserve">Frankcom family: "a legacy of compassion, bravery and love" (Apr 2024)</t>
  </si>
  <si>
    <t xml:space="preserve">QT05_family.png</t>
  </si>
  <si>
    <t xml:space="preserve">Family statement, April 2024</t>
  </si>
  <si>
    <t xml:space="preserve">QT06</t>
  </si>
  <si>
    <t xml:space="preserve">Albanese: "humanity's best hope to break the cycle of violence" (11 Aug 2025)</t>
  </si>
  <si>
    <t xml:space="preserve">QT06_albanese_recognition.png</t>
  </si>
  <si>
    <t xml:space="preserve">pm.gov.au transcript, 11 Aug 2025</t>
  </si>
  <si>
    <t xml:space="preserve">QT07</t>
  </si>
  <si>
    <t xml:space="preserve">Nasser Mashni (APAN): recognition "completely meaningless" while trade continues (11 Aug 2025)</t>
  </si>
  <si>
    <t xml:space="preserve">QT07_mashni.png</t>
  </si>
  <si>
    <t xml:space="preserve">APAN statement / AP report, 11 Aug 2025</t>
  </si>
  <si>
    <t xml:space="preserve">QT08</t>
  </si>
  <si>
    <t xml:space="preserve">Netanyahu post: "a weak politician who betrayed Israel and abandoned Australia's Jews" (19 Aug 2025)</t>
  </si>
  <si>
    <t xml:space="preserve">QT08_netanyahu_post.png</t>
  </si>
  <si>
    <t xml:space="preserve">Built by the pipeline as a quote card (no download). Open the primary source to confirm exact wording — show as a labelled recreation, never a screenshot</t>
  </si>
  <si>
    <t xml:space="preserve">Official Israeli PM X account, 19 Aug 2025</t>
  </si>
  <si>
    <t xml:space="preserve">QT09</t>
  </si>
  <si>
    <t xml:space="preserve">Albanese: "I don't take these things personally" (20 Aug 2025)</t>
  </si>
  <si>
    <t xml:space="preserve">QT09_albanese_reply.png</t>
  </si>
  <si>
    <t xml:space="preserve">Press conference, 20 Aug 2025 (pm.gov.au transcript)</t>
  </si>
  <si>
    <t xml:space="preserve">QT10</t>
  </si>
  <si>
    <t xml:space="preserve">Albanese: "An attack on Jewish Australians is an attack on every Australian" (14 Dec 2025)</t>
  </si>
  <si>
    <t xml:space="preserve">QT10_albanese_bondi.png</t>
  </si>
  <si>
    <t xml:space="preserve">pm.gov.au transcript, 14 Dec 2025</t>
  </si>
  <si>
    <t xml:space="preserve">QT11</t>
  </si>
  <si>
    <t xml:space="preserve">Albanese on Ahmed al Ahmed: "an inspiration for all Australians" (Dec 2025)</t>
  </si>
  <si>
    <t xml:space="preserve">QT11_albanese_ahmed.png</t>
  </si>
  <si>
    <t xml:space="preserve">pm.gov.au transcript, Dec 2025</t>
  </si>
  <si>
    <t xml:space="preserve">QT12</t>
  </si>
  <si>
    <t xml:space="preserve">Mike Burgess (ASIO): "layer cake" of middlemen (26 Aug 2025)</t>
  </si>
  <si>
    <t xml:space="preserve">QT12_burgess.png</t>
  </si>
  <si>
    <t xml:space="preserve">ASIO / press conference transcript, 26 Aug 2025</t>
  </si>
  <si>
    <t xml:space="preserve">DOC01</t>
  </si>
  <si>
    <t xml:space="preserve">UN Resolution 181 (II), 29 Nov 1947</t>
  </si>
  <si>
    <t xml:space="preserve">DOC01_res181.png</t>
  </si>
  <si>
    <t xml:space="preserve">UN Digital Library (digitallibrary.un.org)</t>
  </si>
  <si>
    <t xml:space="preserve">A/RES/181(II)</t>
  </si>
  <si>
    <t xml:space="preserve">UN documents free to reproduce with citation</t>
  </si>
  <si>
    <t xml:space="preserve">DOC02</t>
  </si>
  <si>
    <t xml:space="preserve">UNGA voting record, 29 Nov 1947</t>
  </si>
  <si>
    <t xml:space="preserve">DOC02_vote_record.png</t>
  </si>
  <si>
    <t xml:space="preserve">S02, S13, S14, S20, S34</t>
  </si>
  <si>
    <t xml:space="preserve">0:19, 3:21, 3:43, 5:35, 10:02</t>
  </si>
  <si>
    <t xml:space="preserve">UN Digital Library — 128th plenary meeting records</t>
  </si>
  <si>
    <t xml:space="preserve">UNGA 128th plenary meeting 29 November 1947</t>
  </si>
  <si>
    <t xml:space="preserve">Free with citation. Confirm Australia's place in the roll call</t>
  </si>
  <si>
    <t xml:space="preserve">DOC03</t>
  </si>
  <si>
    <t xml:space="preserve">PM statement: ASIO assessment on Iran, Aug 2025</t>
  </si>
  <si>
    <t xml:space="preserve">DOC03_pm_iran_statement.png</t>
  </si>
  <si>
    <t xml:space="preserve">pm.gov.au (media release / transcript)</t>
  </si>
  <si>
    <t xml:space="preserve">Albanese Iran ASIO statement August 2025</t>
  </si>
  <si>
    <t xml:space="preserve">Commonwealth material; cite</t>
  </si>
  <si>
    <t xml:space="preserve">DOC04</t>
  </si>
  <si>
    <t xml:space="preserve">Royal Commission on Antisemitism and Social Cohesion — establishment, Jan 2026</t>
  </si>
  <si>
    <t xml:space="preserve">DOC04_rc_established.png</t>
  </si>
  <si>
    <t xml:space="preserve">asc.royalcommission.gov.au / pm.gov.au</t>
  </si>
  <si>
    <t xml:space="preserve">royal commission antisemitism social cohesion letters patent</t>
  </si>
  <si>
    <t xml:space="preserve">Cite</t>
  </si>
  <si>
    <t xml:space="preserve">DOC05</t>
  </si>
  <si>
    <t xml:space="preserve">Royal Commission interim report, Apr 2026</t>
  </si>
  <si>
    <t xml:space="preserve">DOC05_rc_interim.png</t>
  </si>
  <si>
    <t xml:space="preserve">asc.royalcommission.gov.au</t>
  </si>
  <si>
    <t xml:space="preserve">interim report 30 April 2026</t>
  </si>
  <si>
    <t xml:space="preserve">DOC06</t>
  </si>
  <si>
    <t xml:space="preserve">Binskin report on the WCK strike</t>
  </si>
  <si>
    <t xml:space="preserve">DOC06_binskin.png</t>
  </si>
  <si>
    <t xml:space="preserve">dfat.gov.au</t>
  </si>
  <si>
    <t xml:space="preserve">Special Adviser Binskin report World Central Kitchen</t>
  </si>
  <si>
    <t xml:space="preserve">Cite; copy the exact finding wording</t>
  </si>
  <si>
    <t xml:space="preserve">DOC07</t>
  </si>
  <si>
    <t xml:space="preserve">Federal Court: Lattouf v ABC (2025)</t>
  </si>
  <si>
    <t xml:space="preserve">DOC07_lattouf_judgment.png</t>
  </si>
  <si>
    <t xml:space="preserve">S32, S34</t>
  </si>
  <si>
    <t xml:space="preserve">9:18, 10:02</t>
  </si>
  <si>
    <t xml:space="preserve">Federal Court of Australia judgments / AustLII</t>
  </si>
  <si>
    <t xml:space="preserve">Lattouf v Australian Broadcasting Corporation 2025 FCA</t>
  </si>
  <si>
    <t xml:space="preserve">Judgments free to reproduce</t>
  </si>
  <si>
    <t xml:space="preserve">DOC08</t>
  </si>
  <si>
    <t xml:space="preserve">Doxxing offence legislation (2024)</t>
  </si>
  <si>
    <t xml:space="preserve">DOC08_doxxing_law.png</t>
  </si>
  <si>
    <t xml:space="preserve">legislation.gov.au</t>
  </si>
  <si>
    <t xml:space="preserve">Privacy and Other Legislation Amendment Act 2024 doxxing</t>
  </si>
  <si>
    <t xml:space="preserve">Cite; confirm Act name</t>
  </si>
  <si>
    <t xml:space="preserve">DOC09</t>
  </si>
  <si>
    <t xml:space="preserve">Australia recognises the State of Palestine, Sept 2025</t>
  </si>
  <si>
    <t xml:space="preserve">DOC09_recognition_statement.png</t>
  </si>
  <si>
    <t xml:space="preserve">pm.gov.au / foreignminister.gov.au</t>
  </si>
  <si>
    <t xml:space="preserve">recognition State of Palestine statement September 2025</t>
  </si>
  <si>
    <t xml:space="preserve">DOC10</t>
  </si>
  <si>
    <t xml:space="preserve">ABS Census — religious affiliation</t>
  </si>
  <si>
    <t xml:space="preserve">DOC10_census.png</t>
  </si>
  <si>
    <t xml:space="preserve">abs.gov.au</t>
  </si>
  <si>
    <t xml:space="preserve">Census 2021 religious affiliation Judaism Islam</t>
  </si>
  <si>
    <t xml:space="preserve">Cite; use latest census</t>
  </si>
  <si>
    <t xml:space="preserve">DOC11</t>
  </si>
  <si>
    <t xml:space="preserve">IPC famine classification, Gaza</t>
  </si>
  <si>
    <t xml:space="preserve">DOC11_ipc.png</t>
  </si>
  <si>
    <t xml:space="preserve">ipcinfo.org</t>
  </si>
  <si>
    <t xml:space="preserve">IPC Gaza famine August 2025</t>
  </si>
  <si>
    <t xml:space="preserve">Cite with date</t>
  </si>
  <si>
    <t xml:space="preserve">DOC12</t>
  </si>
  <si>
    <t xml:space="preserve">Gaza casualty figures (attributed)</t>
  </si>
  <si>
    <t xml:space="preserve">DOC12_gaza_figures.png</t>
  </si>
  <si>
    <t xml:space="preserve">ochaopt.org (reports Health Ministry figures)</t>
  </si>
  <si>
    <t xml:space="preserve">OCHA Gaza humanitarian update casualties</t>
  </si>
  <si>
    <t xml:space="preserve">Cite with as-of date and attribution</t>
  </si>
  <si>
    <t xml:space="preserve">DOC13</t>
  </si>
  <si>
    <t xml:space="preserve">Government position on arms and F-35 parts</t>
  </si>
  <si>
    <t xml:space="preserve">DOC13_f35_position.png</t>
  </si>
  <si>
    <t xml:space="preserve">Hansard (aph.gov.au) / dfat.gov.au / defence.gov.au</t>
  </si>
  <si>
    <t xml:space="preserve">not supplied weapons Israel F-35 parts Hansard</t>
  </si>
  <si>
    <t xml:space="preserve">DOC14</t>
  </si>
  <si>
    <t xml:space="preserve">ECAJ antisemitism report</t>
  </si>
  <si>
    <t xml:space="preserve">DOC14_ecaj.png</t>
  </si>
  <si>
    <t xml:space="preserve">ecaj.org.au</t>
  </si>
  <si>
    <t xml:space="preserve">ECAJ report antisemitism Australia 2024</t>
  </si>
  <si>
    <t xml:space="preserve">DOC15</t>
  </si>
  <si>
    <t xml:space="preserve">Islamophobia Register report</t>
  </si>
  <si>
    <t xml:space="preserve">DOC15_islamophobia_register.png</t>
  </si>
  <si>
    <t xml:space="preserve">islamophobia.com.au</t>
  </si>
  <si>
    <t xml:space="preserve">Islamophobia in Australia report</t>
  </si>
  <si>
    <t xml:space="preserve">DOC16</t>
  </si>
  <si>
    <t xml:space="preserve">Post-Bondi gun and hate speech laws</t>
  </si>
  <si>
    <t xml:space="preserve">DOC16_post_bondi_laws.png</t>
  </si>
  <si>
    <t xml:space="preserve">legislation.gov.au / aph.gov.au</t>
  </si>
  <si>
    <t xml:space="preserve">hate speech gun laws 2026 Australia</t>
  </si>
  <si>
    <t xml:space="preserve">Cite; confirm which laws passed and when</t>
  </si>
  <si>
    <t xml:space="preserve">DOC17</t>
  </si>
  <si>
    <t xml:space="preserve">NSW Police on the Opera House chants review</t>
  </si>
  <si>
    <t xml:space="preserve">DOC17_nsw_police_review.png</t>
  </si>
  <si>
    <t xml:space="preserve">NSW Police media / news reports of the statement</t>
  </si>
  <si>
    <t xml:space="preserve">NSW Police Opera House chant forensic review February 2024</t>
  </si>
  <si>
    <t xml:space="preserve">DOC18</t>
  </si>
  <si>
    <t xml:space="preserve">Envoys on antisemitism and Islamophobia appointed</t>
  </si>
  <si>
    <t xml:space="preserve">DOC18_envoys.png</t>
  </si>
  <si>
    <t xml:space="preserve">pm.gov.au</t>
  </si>
  <si>
    <t xml:space="preserve">special envoy antisemitism Islamophobia appointed</t>
  </si>
  <si>
    <t xml:space="preserve">DOC19</t>
  </si>
  <si>
    <t xml:space="preserve">Iranian ambassador expelled — first since WWII</t>
  </si>
  <si>
    <t xml:space="preserve">DOC19_expulsion.png</t>
  </si>
  <si>
    <t xml:space="preserve">pm.gov.au / dfat.gov.au</t>
  </si>
  <si>
    <t xml:space="preserve">Iranian ambassador expelled August 2025</t>
  </si>
  <si>
    <t xml:space="preserve">DOC20</t>
  </si>
  <si>
    <t xml:space="preserve">Gaza ceasefire, October 2025</t>
  </si>
  <si>
    <t xml:space="preserve">DOC20_ceasefire.png</t>
  </si>
  <si>
    <t xml:space="preserve">dfat.gov.au statement / reputable reports</t>
  </si>
  <si>
    <t xml:space="preserve">Gaza ceasefire October 2025 Australia statement</t>
  </si>
  <si>
    <t xml:space="preserve">DOC21</t>
  </si>
  <si>
    <t xml:space="preserve">2026: IDF clears personnel over the WCK strike; family response</t>
  </si>
  <si>
    <t xml:space="preserve">DOC21_idf_2026.png</t>
  </si>
  <si>
    <t xml:space="preserve">DFAT / PM statement (Aug 2026) and reports of the family statement</t>
  </si>
  <si>
    <t xml:space="preserve">IDF cleared Zomi Frankcom 2026 Albanese outrage</t>
  </si>
  <si>
    <t xml:space="preserve">Cite; confirm date and wording</t>
  </si>
  <si>
    <t xml:space="preserve">MAP01</t>
  </si>
  <si>
    <t xml:space="preserve">THE THREAD — master globe, Sydney → Gaza 14,000 km</t>
  </si>
  <si>
    <t xml:space="preserve">(built)</t>
  </si>
  <si>
    <t xml:space="preserve">S03, S07, S12, S17, S23, S28, S34, S35, S41, S42, S43, S44</t>
  </si>
  <si>
    <t xml:space="preserve">0:38, 1:34, 3:05, 4:43, 6:38, 8:07 …</t>
  </si>
  <si>
    <t xml:space="preserve">Built by the animation pipeline (no download); data: Natural Earth (public domain)</t>
  </si>
  <si>
    <t xml:space="preserve">Nodes: 1947 VOTE · JET PARTS · THE FIRE · WORDS · LIVES · RECOGNITION · THE SKEPTICS · OCT 7 · BONDI</t>
  </si>
  <si>
    <t xml:space="preserve">Natural Earth: public domain</t>
  </si>
  <si>
    <t xml:space="preserve">MAP02</t>
  </si>
  <si>
    <t xml:space="preserve">Beersheba 1917 locator + charge arrow</t>
  </si>
  <si>
    <t xml:space="preserve">Built by the animation pipeline (no download)</t>
  </si>
  <si>
    <t xml:space="preserve">Natural Earth + AWM descriptions</t>
  </si>
  <si>
    <t xml:space="preserve">Public domain data</t>
  </si>
  <si>
    <t xml:space="preserve">MAP03</t>
  </si>
  <si>
    <t xml:space="preserve">1947 UN partition plan</t>
  </si>
  <si>
    <t xml:space="preserve">Built by the animation pipeline (no download); reference: UN map of the plan</t>
  </si>
  <si>
    <t xml:space="preserve">Neutral sand/slate fills, Jerusalem zone</t>
  </si>
  <si>
    <t xml:space="preserve">Cite UN map</t>
  </si>
  <si>
    <t xml:space="preserve">MAP04</t>
  </si>
  <si>
    <t xml:space="preserve">Migration flows to Australia</t>
  </si>
  <si>
    <t xml:space="preserve">Europe→Melbourne; Middle East→Sydney</t>
  </si>
  <si>
    <t xml:space="preserve">Own</t>
  </si>
  <si>
    <t xml:space="preserve">MAP05</t>
  </si>
  <si>
    <t xml:space="preserve">F-35 global parts pool</t>
  </si>
  <si>
    <t xml:space="preserve">AU factories → global pool → operators (all same colour)</t>
  </si>
  <si>
    <t xml:space="preserve">Own; label 'simplified'</t>
  </si>
  <si>
    <t xml:space="preserve">MAP06</t>
  </si>
  <si>
    <t xml:space="preserve">Alleged money trail Tehran → intermediaries → Sydney/Melbourne</t>
  </si>
  <si>
    <t xml:space="preserve">Dotted line, 'ALLEGED' tag</t>
  </si>
  <si>
    <t xml:space="preserve">MAP07</t>
  </si>
  <si>
    <t xml:space="preserve">Gaza Strip and southern Israel</t>
  </si>
  <si>
    <t xml:space="preserve">S24, S29</t>
  </si>
  <si>
    <t xml:space="preserve">6:53, 8:15</t>
  </si>
  <si>
    <t xml:space="preserve">Built by the animation pipeline (no download); reference: OCHA maps</t>
  </si>
  <si>
    <t xml:space="preserve">Border, Gaza City, Deir al-Balah, convoy route</t>
  </si>
  <si>
    <t xml:space="preserve">Cite OCHA reference</t>
  </si>
  <si>
    <t xml:space="preserve">MAP08</t>
  </si>
  <si>
    <t xml:space="preserve">Recognition map, Sept 2025</t>
  </si>
  <si>
    <t xml:space="preserve">Australia, UK, Canada, France light together</t>
  </si>
  <si>
    <t xml:space="preserve">MAP10</t>
  </si>
  <si>
    <t xml:space="preserve">Bondi locator (stylised)</t>
  </si>
  <si>
    <t xml:space="preserve">Built by the animation pipeline (no download); data: OpenStreetMap (credit 'OpenStreetMap contributors')</t>
  </si>
  <si>
    <t xml:space="preserve">One soft marker, no attack detail</t>
  </si>
  <si>
    <t xml:space="preserve">ODbL attribution</t>
  </si>
  <si>
    <t xml:space="preserve">MAP11</t>
  </si>
  <si>
    <t xml:space="preserve">Sydney → Melbourne line (cold open)</t>
  </si>
  <si>
    <t xml:space="preserve">Two pins, one line</t>
  </si>
  <si>
    <t xml:space="preserve">MG01</t>
  </si>
  <si>
    <t xml:space="preserve">BONDI COUNTDOWN ticker (recurring)</t>
  </si>
  <si>
    <t xml:space="preserve">S01, S02, S04, S08, S10, S12, S13, S17, S20, S22, S24, S28, S29, S31, S33, S34, S35, S36, S42</t>
  </si>
  <si>
    <t xml:space="preserve">0:00, 0:19, 0:50, 1:54, 2:25, 3:05 …</t>
  </si>
  <si>
    <t xml:space="preserve">Split-flap: date on top line, 'BONDI −420 DAYS' below; amber digits</t>
  </si>
  <si>
    <t xml:space="preserve">MG02</t>
  </si>
  <si>
    <t xml:space="preserve">Cast board (the five people viewers must remember)</t>
  </si>
  <si>
    <t xml:space="preserve">S10, S11, S22, S24, S40</t>
  </si>
  <si>
    <t xml:space="preserve">2:25, 2:47, 6:22, 6:53, 11:32</t>
  </si>
  <si>
    <t xml:space="preserve">Five name cards: Albanese · Netanyahu · Sussan Ley · Zomi Frankcom · Ahmed al Ahmed (real photos only where free; otherwise name cards)</t>
  </si>
  <si>
    <t xml:space="preserve">MUS01</t>
  </si>
  <si>
    <t xml:space="preserve">Mystery pulse — cold open</t>
  </si>
  <si>
    <t xml:space="preserve">MUS01_mystery_pulse.mp3</t>
  </si>
  <si>
    <t xml:space="preserve">S03, S04, S05, S06</t>
  </si>
  <si>
    <t xml:space="preserve">0:38, 0:50, 1:08, 1:21</t>
  </si>
  <si>
    <t xml:space="preserve">YouTube Audio Library (studio.youtube.com → Audio Library) or Pixabay Music</t>
  </si>
  <si>
    <t xml:space="preserve">dark ambient pulse; suspense ticking underscore</t>
  </si>
  <si>
    <t xml:space="preserve">YouTube Audio Library: check 'attribution required' column; Pixabay: free</t>
  </si>
  <si>
    <t xml:space="preserve">Any low suspense bed</t>
  </si>
  <si>
    <t xml:space="preserve">MUS02</t>
  </si>
  <si>
    <t xml:space="preserve">Historical strings — Ch 1</t>
  </si>
  <si>
    <t xml:space="preserve">MUS02_history_strings.mp3</t>
  </si>
  <si>
    <t xml:space="preserve">S13, S14, S16</t>
  </si>
  <si>
    <t xml:space="preserve">3:21, 3:43, 4:22</t>
  </si>
  <si>
    <t xml:space="preserve">solemn strings documentary; cinematic history</t>
  </si>
  <si>
    <t xml:space="preserve">As above</t>
  </si>
  <si>
    <t xml:space="preserve">MUS04</t>
  </si>
  <si>
    <t xml:space="preserve">Investigative thriller — Ch 3</t>
  </si>
  <si>
    <t xml:space="preserve">MUS04_investigation.mp3</t>
  </si>
  <si>
    <t xml:space="preserve">S08, S09, S10, S11, S12</t>
  </si>
  <si>
    <t xml:space="preserve">1:54, 2:09, 2:25, 2:47, 3:05</t>
  </si>
  <si>
    <t xml:space="preserve">investigation thriller tension; spy suspense</t>
  </si>
  <si>
    <t xml:space="preserve">MUS06</t>
  </si>
  <si>
    <t xml:space="preserve">Soft sombre piano — Ch 5 and quiet moments</t>
  </si>
  <si>
    <t xml:space="preserve">MUS06_sombre_piano.mp3</t>
  </si>
  <si>
    <t xml:space="preserve">S15, S23, S24, S25, S26, S27</t>
  </si>
  <si>
    <t xml:space="preserve">3:58, 6:38, 6:53, 7:16, 7:30, 7:48</t>
  </si>
  <si>
    <t xml:space="preserve">sad piano minimal; emotional piano slow</t>
  </si>
  <si>
    <t xml:space="preserve">MUS07</t>
  </si>
  <si>
    <t xml:space="preserve">Serious strings with pulse — Ch 6</t>
  </si>
  <si>
    <t xml:space="preserve">MUS07_diplomatic_strings.mp3</t>
  </si>
  <si>
    <t xml:space="preserve">S17, S18, S19, S20, S21, S22</t>
  </si>
  <si>
    <t xml:space="preserve">4:43, 4:57, 5:15, 5:35, 5:59, 6:22</t>
  </si>
  <si>
    <t xml:space="preserve">serious strings pulse; political drama</t>
  </si>
  <si>
    <t xml:space="preserve">MUS09</t>
  </si>
  <si>
    <t xml:space="preserve">Heavy drone building — Ch 8</t>
  </si>
  <si>
    <t xml:space="preserve">MUS09_heavy_drone.mp3</t>
  </si>
  <si>
    <t xml:space="preserve">S28, S29, S30, S31, S32, S33, S34, S35</t>
  </si>
  <si>
    <t xml:space="preserve">8:07, 8:15, 8:34, 9:00, 9:18, 9:43 …</t>
  </si>
  <si>
    <t xml:space="preserve">dark cinematic drone build; low strings tension</t>
  </si>
  <si>
    <t xml:space="preserve">MUS10</t>
  </si>
  <si>
    <t xml:space="preserve">Solo cello grief — Ch 9</t>
  </si>
  <si>
    <t xml:space="preserve">MUS10_cello_grief.mp3</t>
  </si>
  <si>
    <t xml:space="preserve">S01, S02, S36, S37, S38, S39, S40, S41, S42</t>
  </si>
  <si>
    <t xml:space="preserve">0:00, 0:19, 10:35, 10:50, 11:08, 11:18 …</t>
  </si>
  <si>
    <t xml:space="preserve">sad cello solo; grief cello</t>
  </si>
  <si>
    <t xml:space="preserve">MUS11</t>
  </si>
  <si>
    <t xml:space="preserve">Hopeful-unresolved closing</t>
  </si>
  <si>
    <t xml:space="preserve">MUS11_closing.mp3</t>
  </si>
  <si>
    <t xml:space="preserve">S42, S43, S44, S45</t>
  </si>
  <si>
    <t xml:space="preserve">12:13, 12:38, 12:57, 13:14</t>
  </si>
  <si>
    <t xml:space="preserve">hopeful reflective ending; emotional uplifting soft</t>
  </si>
  <si>
    <t xml:space="preserve">MUS12</t>
  </si>
  <si>
    <t xml:space="preserve">Signature motif (title + chapter cards)</t>
  </si>
  <si>
    <t xml:space="preserve">MUS12_motif.mp3</t>
  </si>
  <si>
    <t xml:space="preserve">S07, S08, S13, S18, S45, S46</t>
  </si>
  <si>
    <t xml:space="preserve">1:34, 1:54, 3:21, 4:57, 13:14, 13:41</t>
  </si>
  <si>
    <t xml:space="preserve">short piano motif documentary intro; cinematic logo piano</t>
  </si>
  <si>
    <t xml:space="preserve">As above — pick one 3–5s phrase and reuse it every time</t>
  </si>
  <si>
    <t xml:space="preserve">SFX02</t>
  </si>
  <si>
    <t xml:space="preserve">Fire ignition whoosh and crackle</t>
  </si>
  <si>
    <t xml:space="preserve">SFX02_fire.mp3</t>
  </si>
  <si>
    <t xml:space="preserve">S03, S04, S12</t>
  </si>
  <si>
    <t xml:space="preserve">0:38, 0:50, 3:05</t>
  </si>
  <si>
    <t xml:space="preserve">Pixabay Sound Effects / Freesound (CC0 filter) / Mixkit</t>
  </si>
  <si>
    <t xml:space="preserve">fire whoosh crackle</t>
  </si>
  <si>
    <t xml:space="preserve">SFX03</t>
  </si>
  <si>
    <t xml:space="preserve">Distant siren</t>
  </si>
  <si>
    <t xml:space="preserve">SFX03_siren.mp3</t>
  </si>
  <si>
    <t xml:space="preserve">distant siren night</t>
  </si>
  <si>
    <t xml:space="preserve">SFX04</t>
  </si>
  <si>
    <t xml:space="preserve">Typewriter keys</t>
  </si>
  <si>
    <t xml:space="preserve">SFX04_typewriter.mp3</t>
  </si>
  <si>
    <t xml:space="preserve">S29, S30</t>
  </si>
  <si>
    <t xml:space="preserve">8:15, 8:34</t>
  </si>
  <si>
    <t xml:space="preserve">typewriter typing</t>
  </si>
  <si>
    <t xml:space="preserve">SFX05</t>
  </si>
  <si>
    <t xml:space="preserve">Soft whoosh (map lines, thread)</t>
  </si>
  <si>
    <t xml:space="preserve">SFX05_whoosh.mp3</t>
  </si>
  <si>
    <t xml:space="preserve">S02, S03, S04, S07, S09, S13, S16, S17, S18, S21, S22, S30, S32, S33</t>
  </si>
  <si>
    <t xml:space="preserve">0:19, 0:38, 0:50, 1:34, 2:09, 3:21 …</t>
  </si>
  <si>
    <t xml:space="preserve">soft whoosh swoosh</t>
  </si>
  <si>
    <t xml:space="preserve">SFX06</t>
  </si>
  <si>
    <t xml:space="preserve">Digital tick</t>
  </si>
  <si>
    <t xml:space="preserve">SFX06_tick.mp3</t>
  </si>
  <si>
    <t xml:space="preserve">S02, S08, S09, S11, S16, S17, S18, S20, S27, S33, S43, S44, S46</t>
  </si>
  <si>
    <t xml:space="preserve">0:19, 1:54, 2:09, 2:47, 4:22, 4:43 …</t>
  </si>
  <si>
    <t xml:space="preserve">ui tick click digital</t>
  </si>
  <si>
    <t xml:space="preserve">SFX07</t>
  </si>
  <si>
    <t xml:space="preserve">Film projector rattle</t>
  </si>
  <si>
    <t xml:space="preserve">SFX07_projector.mp3</t>
  </si>
  <si>
    <t xml:space="preserve">S12, S13</t>
  </si>
  <si>
    <t xml:space="preserve">3:05, 3:21</t>
  </si>
  <si>
    <t xml:space="preserve">film projector loop</t>
  </si>
  <si>
    <t xml:space="preserve">SFX08</t>
  </si>
  <si>
    <t xml:space="preserve">Crowd ambience, distant</t>
  </si>
  <si>
    <t xml:space="preserve">SFX08_crowd.mp3</t>
  </si>
  <si>
    <t xml:space="preserve">crowd ambience distant protest</t>
  </si>
  <si>
    <t xml:space="preserve">SFX09</t>
  </si>
  <si>
    <t xml:space="preserve">Jet flyby</t>
  </si>
  <si>
    <t xml:space="preserve">SFX09_jet.mp3</t>
  </si>
  <si>
    <t xml:space="preserve">jet flyby</t>
  </si>
  <si>
    <t xml:space="preserve">SFX10</t>
  </si>
  <si>
    <t xml:space="preserve">Factory machining</t>
  </si>
  <si>
    <t xml:space="preserve">SFX10_machining.mp3</t>
  </si>
  <si>
    <t xml:space="preserve">cnc machining factory</t>
  </si>
  <si>
    <t xml:space="preserve">SFX11</t>
  </si>
  <si>
    <t xml:space="preserve">Low sub boom (reveals only)</t>
  </si>
  <si>
    <t xml:space="preserve">SFX11_boom.mp3</t>
  </si>
  <si>
    <t xml:space="preserve">S04, S07, S10, S21, S23, S34</t>
  </si>
  <si>
    <t xml:space="preserve">0:50, 1:34, 2:25, 5:59, 6:38, 10:02</t>
  </si>
  <si>
    <t xml:space="preserve">cinematic boom impact low</t>
  </si>
  <si>
    <t xml:space="preserve">SFX13</t>
  </si>
  <si>
    <t xml:space="preserve">Morning waves and gulls</t>
  </si>
  <si>
    <t xml:space="preserve">SFX13_waves_gulls.mp3</t>
  </si>
  <si>
    <t xml:space="preserve">S01, S36, S43</t>
  </si>
  <si>
    <t xml:space="preserve">0:00, 10:35, 12:38</t>
  </si>
  <si>
    <t xml:space="preserve">ocean waves seagulls morning</t>
  </si>
  <si>
    <t xml:space="preserve">SFX14</t>
  </si>
  <si>
    <t xml:space="preserve">Riser</t>
  </si>
  <si>
    <t xml:space="preserve">SFX14_riser.mp3</t>
  </si>
  <si>
    <t xml:space="preserve">S03, S34</t>
  </si>
  <si>
    <t xml:space="preserve">0:38, 10:02</t>
  </si>
  <si>
    <t xml:space="preserve">cinematic riser</t>
  </si>
  <si>
    <t xml:space="preserve">SFX15</t>
  </si>
  <si>
    <t xml:space="preserve">Gavel</t>
  </si>
  <si>
    <t xml:space="preserve">SFX15_gavel.mp3</t>
  </si>
  <si>
    <t xml:space="preserve">gavel strike</t>
  </si>
  <si>
    <t xml:space="preserve">SFX16</t>
  </si>
  <si>
    <t xml:space="preserve">Horse hooves galloping</t>
  </si>
  <si>
    <t xml:space="preserve">SFX16_hooves.mp3</t>
  </si>
  <si>
    <t xml:space="preserve">horses galloping</t>
  </si>
  <si>
    <t xml:space="preserve">SFX17</t>
  </si>
  <si>
    <t xml:space="preserve">Phone notification ping</t>
  </si>
  <si>
    <t xml:space="preserve">SFX17_ping.mp3</t>
  </si>
  <si>
    <t xml:space="preserve">S22, S32</t>
  </si>
  <si>
    <t xml:space="preserve">6:22, 9:18</t>
  </si>
  <si>
    <t xml:space="preserve">notification ping</t>
  </si>
  <si>
    <t xml:space="preserve">SFX18</t>
  </si>
  <si>
    <t xml:space="preserve">Paper slide / page turn</t>
  </si>
  <si>
    <t xml:space="preserve">SFX18_paper.mp3</t>
  </si>
  <si>
    <t xml:space="preserve">S19, S26, S30, S31, S33, S35</t>
  </si>
  <si>
    <t xml:space="preserve">5:15, 7:30, 8:34, 9:00, 9:43, 10:22</t>
  </si>
  <si>
    <t xml:space="preserve">paper slide page turn</t>
  </si>
  <si>
    <t xml:space="preserve">SFX19</t>
  </si>
  <si>
    <t xml:space="preserve">Rubber stamp thud</t>
  </si>
  <si>
    <t xml:space="preserve">SFX19_stamp.mp3</t>
  </si>
  <si>
    <t xml:space="preserve">S05, S10, S11, S14, S18, S23, S27, S32, S42</t>
  </si>
  <si>
    <t xml:space="preserve">1:08, 2:25, 2:47, 3:43, 4:57, 6:38 …</t>
  </si>
  <si>
    <t xml:space="preserve">rubber stamp</t>
  </si>
  <si>
    <t xml:space="preserve">SFX20</t>
  </si>
  <si>
    <t xml:space="preserve">Marker squeak</t>
  </si>
  <si>
    <t xml:space="preserve">SFX20_marker.mp3</t>
  </si>
  <si>
    <t xml:space="preserve">S13, S20</t>
  </si>
  <si>
    <t xml:space="preserve">3:21, 5:35</t>
  </si>
  <si>
    <t xml:space="preserve">marker pen squeak</t>
  </si>
  <si>
    <t xml:space="preserve">SFX21</t>
  </si>
  <si>
    <t xml:space="preserve">Pin thunk</t>
  </si>
  <si>
    <t xml:space="preserve">SFX21_thunk.mp3</t>
  </si>
  <si>
    <t xml:space="preserve">S02, S05, S06, S08, S10, S11, S14, S15, S21, S28, S42, S44</t>
  </si>
  <si>
    <t xml:space="preserve">0:19, 1:08, 1:21, 1:54, 2:25, 2:47 …</t>
  </si>
  <si>
    <t xml:space="preserve">pin board thunk; soft thud</t>
  </si>
  <si>
    <t xml:space="preserve">SFX22</t>
  </si>
  <si>
    <t xml:space="preserve">Heavy door close</t>
  </si>
  <si>
    <t xml:space="preserve">SFX22_door.mp3</t>
  </si>
  <si>
    <t xml:space="preserve">heavy door close</t>
  </si>
  <si>
    <t xml:space="preserve">SFX23</t>
  </si>
  <si>
    <t xml:space="preserve">Rain and city</t>
  </si>
  <si>
    <t xml:space="preserve">SFX23_rain.mp3</t>
  </si>
  <si>
    <t xml:space="preserve">rain city ambience</t>
  </si>
  <si>
    <t xml:space="preserve">SFX24</t>
  </si>
  <si>
    <t xml:space="preserve">Countdown tick (low, heartbeat-like single tick)</t>
  </si>
  <si>
    <t xml:space="preserve">SFX24_countdown_tick.mp3</t>
  </si>
  <si>
    <t xml:space="preserve">S01, S02, S03, S04, S10, S12, S13, S14, S17, S20, S22, S28, S31, S33, S34, S35, S42</t>
  </si>
  <si>
    <t xml:space="preserve">0:00, 0:19, 0:38, 0:50, 2:25, 3:05 …</t>
  </si>
  <si>
    <t xml:space="preserve">low clock tick heartbeat; deep single tick</t>
  </si>
  <si>
    <t xml:space="preserve">CC0 / Pixabay licence</t>
  </si>
  <si>
    <t xml:space="preserve">SFX06 pitched down</t>
  </si>
  <si>
    <t xml:space="preserve">S01_ATLAS.mp3</t>
  </si>
  <si>
    <t xml:space="preserve">Grok TTS (your account)</t>
  </si>
  <si>
    <t xml:space="preserve">Bondi Beach. [pause] On the fourteenth of December, twenty twenty-five, the first night of Hanukkah, it became the scene of the deadliest terror attack ever carried out on Australian soil. [pause] Fifteen people were killed.</t>
  </si>
  <si>
    <t xml:space="preserve">AI voice — disclose in description</t>
  </si>
  <si>
    <t xml:space="preserve">Delivery: quiet, grave, unhurried</t>
  </si>
  <si>
    <t xml:space="preserve">Ara (backup: Eve)</t>
  </si>
  <si>
    <t xml:space="preserve">S02_ARA.mp3</t>
  </si>
  <si>
    <t xml:space="preserve">Afterwards, the whole country asked the same question. [pause] How did this happen here? [pause] Police say the gunmen were inspired by Islamic State. But the Australia they struck had been under strain for two years, ever since the war in Gaza began in October twenty twenty-three.</t>
  </si>
  <si>
    <t xml:space="preserve">Delivery: searching, clear</t>
  </si>
  <si>
    <t xml:space="preserve">S03_ATLAS.mp3</t>
  </si>
  <si>
    <t xml:space="preserve">This film follows the threads of that strain. [pause] Some go back seventy-eight years. [pause] One goes back just fourteen months, to a fire [pause] in the same suburb.</t>
  </si>
  <si>
    <t xml:space="preserve">Delivery: leaning in, conspiratorial</t>
  </si>
  <si>
    <t xml:space="preserve">S04_ARA.mp3</t>
  </si>
  <si>
    <t xml:space="preserve">October, twenty twenty-four. In the early hours, a small kosher restaurant in Bondi goes up in flames. Nobody is hurt. Police treat it as a local crime. [pause] Seven weeks later, eight hundred kilometres south, a synagogue in Melbourne is firebombed before dawn.</t>
  </si>
  <si>
    <t xml:space="preserve">Delivery: quiet, then a chill</t>
  </si>
  <si>
    <t xml:space="preserve">S05_ATLAS.mp3</t>
  </si>
  <si>
    <t xml:space="preserve">What almost nobody knew then was that the people who lit these fires were allegedly &lt;slow&gt;paid.&lt;/slow&gt; [pause] And the money trail led to a government on the other side of the world.</t>
  </si>
  <si>
    <t xml:space="preserve">Delivery: hushed, ominous</t>
  </si>
  <si>
    <t xml:space="preserve">S06_ARA.mp3</t>
  </si>
  <si>
    <t xml:space="preserve">And on the night of the attack, one man ran toward the gunfire. [pause] His story became one of the most shared in the country. [pause] We'll come back to him.</t>
  </si>
  <si>
    <t xml:space="preserve">Delivery: warm, intriguing</t>
  </si>
  <si>
    <t xml:space="preserve">S07_ATLAS.mp3</t>
  </si>
  <si>
    <t xml:space="preserve">None of these threads explains Bondi on its own. [pause] But together, they show the country it happened in. [pause] And to understand that country, we have to follow the money first.</t>
  </si>
  <si>
    <t xml:space="preserve">Delivery: calm, setting the contract with the viewer</t>
  </si>
  <si>
    <t xml:space="preserve">S08_ARA.mp3</t>
  </si>
  <si>
    <t xml:space="preserve">For months, the fires looked like local crime. But Australia's domestic spy agency, ASIO, kept following the money. [pause] What its investigators found, ASIO's chief later described as a &lt;slow&gt;layer cake.&lt;/slow&gt;</t>
  </si>
  <si>
    <t xml:space="preserve">Delivery: investigative, vivid</t>
  </si>
  <si>
    <t xml:space="preserve">S09_ATLAS.mp3</t>
  </si>
  <si>
    <t xml:space="preserve">Middlemen overseas. Coordinators. And at the bottom, local criminals, paid to do a job, not to make a point. [pause] Security experts call it crime as a service. [pause] It's cheap. It's deniable. And it's very hard to detect.</t>
  </si>
  <si>
    <t xml:space="preserve">Delivery: clear, rhythmic</t>
  </si>
  <si>
    <t xml:space="preserve">S10_ARA.mp3</t>
  </si>
  <si>
    <t xml:space="preserve">August, twenty twenty-five. The Prime Minister announces ASIO's assessment. [pause] According to ASIO, Iran's Islamic Revolutionary Guard Corps directed at least two of the attacks. The Bondi restaurant fire, and the Melbourne synagogue. [pause] He called them, quote, extraordinary and dangerous acts of aggression, orchestrated by a foreign nation on Australian soil.</t>
  </si>
  <si>
    <t xml:space="preserve">Delivery: formal, then weighty</t>
  </si>
  <si>
    <t xml:space="preserve">S11_ATLAS.mp3</t>
  </si>
  <si>
    <t xml:space="preserve">Australia expelled Iran's ambassador. The first expulsion of an ambassador since the Second World War. Iran denied any involvement. [pause] In Parliament, Opposition Leader Sussan Ley said the attacks aimed to, quote, turn neighbour against neighbour, and Australian against Australian. [pause] Remember those words.</t>
  </si>
  <si>
    <t xml:space="preserve">Delivery: grave, then pointed</t>
  </si>
  <si>
    <t xml:space="preserve">S12_ARA.mp3</t>
  </si>
  <si>
    <t xml:space="preserve">That was one hundred and ten days before Bondi. [pause] But why would anyone use a fire in Bondi as a weapon at all? [pause] To answer that, we have to go back to a vote Australia cast first.</t>
  </si>
  <si>
    <t xml:space="preserve">Delivery: turning, building a bridge</t>
  </si>
  <si>
    <t xml:space="preserve">S13_ATLAS.mp3</t>
  </si>
  <si>
    <t xml:space="preserve">November, nineteen forty-seven. The new United Nations votes on a plan to divide Palestine into a Jewish state and an Arab state. [pause] The committee behind it is chaired by Australia's foreign minister. [pause] And the first country to vote yes [pause] is Australia.</t>
  </si>
  <si>
    <t xml:space="preserve">Delivery: storytelling, quiet surprise</t>
  </si>
  <si>
    <t xml:space="preserve">S14_ARA.mp3</t>
  </si>
  <si>
    <t xml:space="preserve">Thirty years earlier, Australian Light Horsemen had charged at Beersheba, helping open the road to Jerusalem. [pause] So Australians shaped this land twice. [pause] Once on horseback. And once at a ballot.</t>
  </si>
  <si>
    <t xml:space="preserve">Delivery: warm, vivid</t>
  </si>
  <si>
    <t xml:space="preserve">S15_ATLAS.mp3</t>
  </si>
  <si>
    <t xml:space="preserve">&lt;soft&gt;For many Jewish people, that vote is remembered as a rescue, after the Holocaust. [pause] For Palestinians, what followed in nineteen forty-eight is remembered as the Nakba. The catastrophe. When more than seven hundred thousand people fled or were expelled from their homes.&lt;/soft&gt; [pause] The same event. [pause] Remembered in two opposite ways.</t>
  </si>
  <si>
    <t xml:space="preserve">Delivery: soft, even, equal weight to both halves</t>
  </si>
  <si>
    <t xml:space="preserve">S16_ARA.mp3</t>
  </si>
  <si>
    <t xml:space="preserve">Both memories sailed to Australia. [pause] Melbourne became home to one of the largest communities of Holocaust survivors, per person, outside Israel. Palestinian, Lebanese and other Arab families settled in Sydney's south-west. [pause] Today, more than one hundred thousand Jewish Australians, and more than eight hundred thousand Muslim Australians, call this country home.</t>
  </si>
  <si>
    <t xml:space="preserve">Delivery: warm, grounded</t>
  </si>
  <si>
    <t xml:space="preserve">S17_ATLAS.mp3</t>
  </si>
  <si>
    <t xml:space="preserve">So when war comes to the Middle East, it doesn't stay there. [pause] It arrives in Australian homes, as family. [pause] And in the two years before Bondi, it arrived in Canberra too.</t>
  </si>
  <si>
    <t xml:space="preserve">Delivery: connecting, forward hook</t>
  </si>
  <si>
    <t xml:space="preserve">S18_ARA.mp3</t>
  </si>
  <si>
    <t xml:space="preserve">First, a choice almost nobody noticed. [pause] Dozens of Australian companies make parts for the F thirty-five fighter jet, and those parts go into a shared global pool. [pause] Australia's air force flies the F thirty-five. [pause] So does Israel's.</t>
  </si>
  <si>
    <t xml:space="preserve">Delivery: clear, a small reveal</t>
  </si>
  <si>
    <t xml:space="preserve">S19_ATLAS.mp3</t>
  </si>
  <si>
    <t xml:space="preserve">Critics, including aid groups and the Greens, say that makes Australia part of the war. [pause] The government says Australia has not supplied weapons or ammunition to Israel since the war began, and that leaving the pool would weaken Australia's own defence, without grounding a single Israeli jet.</t>
  </si>
  <si>
    <t xml:space="preserve">Delivery: neutral, both cases in identical tone</t>
  </si>
  <si>
    <t xml:space="preserve">S20_ARA.mp3</t>
  </si>
  <si>
    <t xml:space="preserve">Then, a choice everyone noticed. [pause] In August twenty twenty-five, the Prime Minister announced Australia would recognise the State of Palestine. He called a two-state solution, quote, humanity's best hope to break the cycle of violence. [pause] And he reminded the country that Australia had been the first to back the U.N. plan, back in nineteen forty-seven.</t>
  </si>
  <si>
    <t xml:space="preserve">Delivery: historic, connecting the dots</t>
  </si>
  <si>
    <t xml:space="preserve">S21_ATLAS.mp3</t>
  </si>
  <si>
    <t xml:space="preserve">It was made official at the United Nations in September, with conditions. No role for Hamas, demilitarisation, and Palestinian elections. [pause] And it was attacked from both directions. The Coalition, Israel's government and many Jewish groups said it rewarded Hamas. [pause] A pro-Palestinian advocacy group called it, quote, completely meaningless, while Australia still traded with Israel.</t>
  </si>
  <si>
    <t xml:space="preserve">Delivery: neutral, attacked from both sides</t>
  </si>
  <si>
    <t xml:space="preserve">S22_ARA.mp3</t>
  </si>
  <si>
    <t xml:space="preserve">Then it turned personal. [pause] Israel's prime minister posted that history would remember Albanese as, quote, a weak politician who betrayed Israel and abandoned Australia's Jews. [pause] Albanese replied, quote, I don't take these things personally.</t>
  </si>
  <si>
    <t xml:space="preserve">Delivery: tense, reading plainly</t>
  </si>
  <si>
    <t xml:space="preserve">S23_ATLAS.mp3</t>
  </si>
  <si>
    <t xml:space="preserve">Visas were cancelled on both sides. Relations between two old friends sank to their lowest point in decades. [pause] Abroad, Canberra was making choices. [pause] But for some Australian families, the war had already come much closer.</t>
  </si>
  <si>
    <t xml:space="preserve">Delivery: weighty, then a turn inward</t>
  </si>
  <si>
    <t xml:space="preserve">S24_ARA.mp3</t>
  </si>
  <si>
    <t xml:space="preserve">&lt;soft&gt;Zomi Frankcom grew up in Melbourne. She spent years feeding people in disaster zones. [pause] On the first of April, twenty twenty-four, she and six colleagues from World Central Kitchen were killed, when Israeli drone strikes hit their clearly marked convoy in Gaza.&lt;/soft&gt;</t>
  </si>
  <si>
    <t xml:space="preserve">Delivery: tender, slow</t>
  </si>
  <si>
    <t xml:space="preserve">S25_ATLAS.mp3</t>
  </si>
  <si>
    <t xml:space="preserve">Prime Minister Albanese called it, quote, completely unacceptable. [pause] Israel's prime minister said his forces had, quote, unintentionally harmed non-combatants. [pause] Her family said she would leave, quote, a legacy of compassion, bravery and love.</t>
  </si>
  <si>
    <t xml:space="preserve">Delivery: steady, three voices read plainly</t>
  </si>
  <si>
    <t xml:space="preserve">S26_ARA.mp3</t>
  </si>
  <si>
    <t xml:space="preserve">A former Defence Force chief reviewed Israel's investigation for Australia. He found serious failures, but no evidence the convoy had been knowingly targeted. [pause] In twenty twenty-six, Israel's military cleared its soldiers of criminal wrongdoing. Her family called that a miscarriage of justice.</t>
  </si>
  <si>
    <t xml:space="preserve">Delivery: factual, gentle</t>
  </si>
  <si>
    <t xml:space="preserve">S27_ATLAS.mp3</t>
  </si>
  <si>
    <t xml:space="preserve">Australians were also among those killed or affected in Israel. And Australian-Palestinians lost parents, siblings and cousins in Gaza. [pause] Australia granted thousands of visitor visas to people fleeing Gaza. Supporters called it basic humanity. The opposition said vetting was rushed. The government said every applicant was checked.</t>
  </si>
  <si>
    <t xml:space="preserve">Delivery: empathetic, then even</t>
  </si>
  <si>
    <t xml:space="preserve">S28_ARA.mp3</t>
  </si>
  <si>
    <t xml:space="preserve">For these families, the war was never far away. [pause] And at home, it was pulling the country in two.</t>
  </si>
  <si>
    <t xml:space="preserve">Delivery: quietly ominous</t>
  </si>
  <si>
    <t xml:space="preserve">S29_ATLAS.mp3</t>
  </si>
  <si>
    <t xml:space="preserve">It began on the seventh of October, twenty twenty-three. [pause] Hamas-led fighters crossed from Gaza into southern Israel. Around twelve hundred people were killed, most of them civilians, and around two hundred and fifty were taken hostage.</t>
  </si>
  <si>
    <t xml:space="preserve">Delivery: grave, steady</t>
  </si>
  <si>
    <t xml:space="preserve">S30_ARA.mp3</t>
  </si>
  <si>
    <t xml:space="preserve">It was the deadliest day for Jewish people since the Holocaust. [pause] Israel's military campaign in Gaza lasted two years. [pause] Gaza's Health Ministry, run by Hamas, reported tens of thousands of Palestinians killed. U.N. agencies broadly treated those figures as reliable, and Israel disputed them. [pause] U.N. backed experts declared famine in parts of the territory.</t>
  </si>
  <si>
    <t xml:space="preserve">Delivery: heavy, careful, then precise and attributed</t>
  </si>
  <si>
    <t xml:space="preserve">S31_ATLAS.mp3</t>
  </si>
  <si>
    <t xml:space="preserve">Back home, two days after October the seventh, the Opera House sails were lit in Israel's colours. That night, a pro-Palestinian rally gathered below. [pause] Flares were lit, and antisemitic chanting caused national outrage, though a later police review disputed exactly what was said.</t>
  </si>
  <si>
    <t xml:space="preserve">Delivery: tense, fair</t>
  </si>
  <si>
    <t xml:space="preserve">S32_ARA.mp3</t>
  </si>
  <si>
    <t xml:space="preserve">The fight moved onto phones and into courtrooms. [pause] The private details of hundreds of Jewish writers and artists were published online, and Parliament made malicious doxxing a crime. [pause] An ABC presenter was taken off air after sharing a human rights report on Gaza, and the Federal Court later found she'd been unlawfully sacked. [pause] Two cases. Opposite sides.</t>
  </si>
  <si>
    <t xml:space="preserve">Delivery: even, two matched cases</t>
  </si>
  <si>
    <t xml:space="preserve">S33_ATLAS.mp3</t>
  </si>
  <si>
    <t xml:space="preserve">Tens of thousands marched across the Harbour Bridge in the rain. [pause] Jewish groups recorded record numbers of antisemitic incidents. Muslim Australians, especially women wearing the hijab, reported record abuse. [pause] The government appointed two special envoys, one to combat antisemitism, and one to combat Islamophobia.</t>
  </si>
  <si>
    <t xml:space="preserve">Delivery: a divided country</t>
  </si>
  <si>
    <t xml:space="preserve">S34_ARA.mp3</t>
  </si>
  <si>
    <t xml:space="preserve">Now look back. [pause] The fires. The jet parts. The expelled ambassador. The recognition. The court cases. The visas. [pause] All of it, in the two years before Bondi.</t>
  </si>
  <si>
    <t xml:space="preserve">Delivery: realisation, the big payoff</t>
  </si>
  <si>
    <t xml:space="preserve">S35_ATLAS.mp3</t>
  </si>
  <si>
    <t xml:space="preserve">In October twenty twenty-five, a U.S.-brokered ceasefire brought the surviving hostages home. [pause] Many hoped the worst was over. [pause] Sixty-five days later, [pause] &lt;slow&gt;it wasn't.&lt;/slow&gt;</t>
  </si>
  <si>
    <t xml:space="preserve">Delivery: hopeful for a beat, then two slow words</t>
  </si>
  <si>
    <t xml:space="preserve">S36_ARA.mp3</t>
  </si>
  <si>
    <t xml:space="preserve">&lt;soft&gt;Remember the fire, fourteen months earlier, in the same suburb? [pause] Hanukkah is the festival of lights. [pause] On its first night, around a thousand people gathered by the beach to celebrate.&lt;/soft&gt;</t>
  </si>
  <si>
    <t xml:space="preserve">Delivery: quiet dread</t>
  </si>
  <si>
    <t xml:space="preserve">S37_ATLAS.mp3</t>
  </si>
  <si>
    <t xml:space="preserve">&lt;soft&gt;Two gunmen, a father and son, opened fire. Police shot the father dead. His son was arrested. [pause] Fifteen people were killed. Among them, a ten-year-old girl, a retired police officer, a rabbi, and a Holocaust survivor.&lt;/soft&gt;</t>
  </si>
  <si>
    <t xml:space="preserve">Delivery: grief, restrained</t>
  </si>
  <si>
    <t xml:space="preserve">S38_ARA.mp3</t>
  </si>
  <si>
    <t xml:space="preserve">That night, the Prime Minister said, quote, [pause] an attack on Jewish Australians is an attack on every Australian.</t>
  </si>
  <si>
    <t xml:space="preserve">Delivery: solemn, plain</t>
  </si>
  <si>
    <t xml:space="preserve">S39_ATLAS.mp3</t>
  </si>
  <si>
    <t xml:space="preserve">And in the middle of the horror, one man crouched behind a parked car, waited, and ran at one of the gunmen. [pause] He wrestled the gun away. [pause] He was shot and wounded.</t>
  </si>
  <si>
    <t xml:space="preserve">Delivery: quiet courage, building</t>
  </si>
  <si>
    <t xml:space="preserve">S40_ARA.mp3</t>
  </si>
  <si>
    <t xml:space="preserve">His name is Ahmed al Ahmed. [pause] A Syrian-born Muslim. A father of two, who runs a fruit shop. [pause] The attack was aimed at Jewish Australians. [pause] And one of the people who stood in its way was a Muslim Australian.</t>
  </si>
  <si>
    <t xml:space="preserve">Delivery: warm, a lump in the throat</t>
  </si>
  <si>
    <t xml:space="preserve">S41_ATLAS.mp3</t>
  </si>
  <si>
    <t xml:space="preserve">The Prime Minister called his bravery, quote, an inspiration for all Australians. [pause] Police say the gunmen were inspired by Islamic State. [pause] And some warn that seeing Bondi only through Israel and Gaza risks missing the extremism behind it, or blaming whole communities for the acts of two men.</t>
  </si>
  <si>
    <t xml:space="preserve">Delivery: careful, fair</t>
  </si>
  <si>
    <t xml:space="preserve">S42_ARA.mp3</t>
  </si>
  <si>
    <t xml:space="preserve">Twenty-five days after the attack, the government called a Royal Commission on Antisemitism and Social Cohesion, led by a former Chief Justice. [pause] In February, Israel's President visited Canberra to comfort grieving families. In April, the commission called for tougher national gun laws. [pause] Its final report is due on the fourteenth of December, twenty twenty-six. [pause] One year to the day.</t>
  </si>
  <si>
    <t xml:space="preserve">Delivery: steady, then resonant</t>
  </si>
  <si>
    <t xml:space="preserve">S43_ATLAS.mp3</t>
  </si>
  <si>
    <t xml:space="preserve">So, what does a war fourteen thousand kilometres away have to do with Bondi? [pause] It didn't pull the trigger. [pause] But for two years, it pulled at the country. A vote Australia cast first. Parts in a fighter jet. Fires paid for from abroad.</t>
  </si>
  <si>
    <t xml:space="preserve">Delivery: stillness, then rhythm</t>
  </si>
  <si>
    <t xml:space="preserve">S44_ARA.mp3</t>
  </si>
  <si>
    <t xml:space="preserve">An ambassador expelled. A recognition. Australians grieving on both sides. [pause] A foreign state tried to turn neighbour against neighbour. [pause] On a beach in Bondi, one neighbour ran toward the danger, for another.</t>
  </si>
  <si>
    <t xml:space="preserve">Delivery: quiet conviction</t>
  </si>
  <si>
    <t xml:space="preserve">S45_ATLAS.mp3</t>
  </si>
  <si>
    <t xml:space="preserve">&lt;soft&gt;Maybe the real question isn't about the Middle East at all. It's whether a country built by people from everywhere can hold two communities' grief at the same time, without asking either to give up theirs.&lt;/soft&gt; [pause] What Australia does next will say less about Gaza, [pause] and more about us.</t>
  </si>
  <si>
    <t xml:space="preserve">Delivery: warm, final</t>
  </si>
  <si>
    <t xml:space="preserve">S46_ARA.mp3</t>
  </si>
  <si>
    <t xml:space="preserve">Is this Australia's issue? Tell us what you think. [pause] And if any of this has been hard to watch, you're not alone. Support details are in the description.</t>
  </si>
  <si>
    <t xml:space="preserve">Delivery: gentle, caring</t>
  </si>
</sst>
</file>

<file path=xl/styles.xml><?xml version="1.0" encoding="utf-8"?>
<styleSheet xmlns="http://schemas.openxmlformats.org/spreadsheetml/2006/main">
  <numFmts count="4">
    <numFmt numFmtId="164" formatCode="General"/>
    <numFmt numFmtId="165" formatCode="0%"/>
    <numFmt numFmtId="166" formatCode="\$#,##0;&quot;($&quot;#,##0\);&quot;$0&quot;"/>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0E1A2B"/>
      <name val="Arial"/>
      <family val="0"/>
      <charset val="1"/>
    </font>
    <font>
      <sz val="10"/>
      <color rgb="FF0E1A2B"/>
      <name val="Arial"/>
      <family val="0"/>
      <charset val="1"/>
    </font>
    <font>
      <b val="true"/>
      <sz val="10"/>
      <color rgb="FF0E1A2B"/>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4">
    <fill>
      <patternFill patternType="none"/>
    </fill>
    <fill>
      <patternFill patternType="gray125"/>
    </fill>
    <fill>
      <patternFill patternType="solid">
        <fgColor rgb="FF0E1A2B"/>
        <bgColor rgb="FF000000"/>
      </patternFill>
    </fill>
    <fill>
      <patternFill patternType="solid">
        <fgColor rgb="FFFFF4CC"/>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E1A2B"/>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bgColor rgb="FFD9EAD3"/>
        </patternFill>
      </fill>
    </dxf>
    <dxf>
      <fill>
        <patternFill>
          <bgColor rgb="FFB6D7A8"/>
        </patternFill>
      </fill>
    </dxf>
    <dxf>
      <fill>
        <patternFill>
          <bgColor rgb="FF93C47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4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3C47D"/>
      <rgbColor rgb="FF003366"/>
      <rgbColor rgb="FF339966"/>
      <rgbColor rgb="FF0E1A2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23.8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3"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23.8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14"/>
  </cols>
  <sheetData>
    <row r="1" customFormat="false" ht="15" hidden="false" customHeight="false" outlineLevel="0" collapsed="false">
      <c r="A1" s="4" t="s">
        <v>15</v>
      </c>
      <c r="B1" s="4" t="s">
        <v>16</v>
      </c>
      <c r="C1" s="4" t="s">
        <v>17</v>
      </c>
      <c r="D1" s="4" t="s">
        <v>18</v>
      </c>
      <c r="E1" s="4" t="s">
        <v>19</v>
      </c>
      <c r="F1" s="4" t="s">
        <v>20</v>
      </c>
    </row>
    <row r="2" customFormat="false" ht="15" hidden="false" customHeight="false" outlineLevel="0" collapsed="false">
      <c r="A2" s="5" t="s">
        <v>21</v>
      </c>
      <c r="B2" s="5" t="n">
        <f aca="false">COUNTA('Real Footage'!A2:A7)</f>
        <v>6</v>
      </c>
      <c r="C2" s="5" t="n">
        <f aca="false">COUNTIF('Real Footage'!L2:L7,"Downloaded")+COUNTIF('Real Footage'!L2:L7,"Licence noted")+COUNTIF('Real Footage'!L2:L7,"In repo")</f>
        <v>0</v>
      </c>
      <c r="D2" s="5" t="n">
        <f aca="false">COUNTIF('Real Footage'!L2:L7,"In repo")</f>
        <v>0</v>
      </c>
      <c r="E2" s="6" t="n">
        <f aca="false">IF(B2=0,0,C2/B2)</f>
        <v>0</v>
      </c>
      <c r="F2" s="7" t="n">
        <f aca="false">SUM('Real Footage'!K2:K7)</f>
        <v>0</v>
      </c>
    </row>
    <row r="3" customFormat="false" ht="15" hidden="false" customHeight="false" outlineLevel="0" collapsed="false">
      <c r="A3" s="5" t="s">
        <v>22</v>
      </c>
      <c r="B3" s="5" t="n">
        <f aca="false">COUNTA(Photos!A2:A22)</f>
        <v>21</v>
      </c>
      <c r="C3" s="5" t="n">
        <f aca="false">COUNTIF(Photos!L2:L22,"Downloaded")+COUNTIF(Photos!L2:L22,"Licence noted")+COUNTIF(Photos!L2:L22,"In repo")</f>
        <v>0</v>
      </c>
      <c r="D3" s="5" t="n">
        <f aca="false">COUNTIF(Photos!L2:L22,"In repo")</f>
        <v>0</v>
      </c>
      <c r="E3" s="6" t="n">
        <f aca="false">IF(B3=0,0,C3/B3)</f>
        <v>0</v>
      </c>
      <c r="F3" s="7" t="n">
        <f aca="false">SUM(Photos!K2:K22)</f>
        <v>0</v>
      </c>
    </row>
    <row r="4" customFormat="false" ht="15" hidden="false" customHeight="false" outlineLevel="0" collapsed="false">
      <c r="A4" s="5" t="s">
        <v>23</v>
      </c>
      <c r="B4" s="5" t="n">
        <f aca="false">COUNTA('Free Stock'!A2:A17)</f>
        <v>16</v>
      </c>
      <c r="C4" s="5" t="n">
        <f aca="false">COUNTIF('Free Stock'!L2:L17,"Downloaded")+COUNTIF('Free Stock'!L2:L17,"Licence noted")+COUNTIF('Free Stock'!L2:L17,"In repo")</f>
        <v>0</v>
      </c>
      <c r="D4" s="5" t="n">
        <f aca="false">COUNTIF('Free Stock'!L2:L17,"In repo")</f>
        <v>0</v>
      </c>
      <c r="E4" s="6" t="n">
        <f aca="false">IF(B4=0,0,C4/B4)</f>
        <v>0</v>
      </c>
      <c r="F4" s="7" t="n">
        <f aca="false">SUM('Free Stock'!K2:K17)</f>
        <v>0</v>
      </c>
    </row>
    <row r="5" customFormat="false" ht="15" hidden="false" customHeight="false" outlineLevel="0" collapsed="false">
      <c r="A5" s="5" t="s">
        <v>24</v>
      </c>
      <c r="B5" s="5" t="n">
        <f aca="false">COUNTA('AI B-roll'!A2:A11)</f>
        <v>10</v>
      </c>
      <c r="C5" s="5" t="n">
        <f aca="false">COUNTIF('AI B-roll'!L2:L11,"Downloaded")+COUNTIF('AI B-roll'!L2:L11,"Licence noted")+COUNTIF('AI B-roll'!L2:L11,"In repo")</f>
        <v>0</v>
      </c>
      <c r="D5" s="5" t="n">
        <f aca="false">COUNTIF('AI B-roll'!L2:L11,"In repo")</f>
        <v>0</v>
      </c>
      <c r="E5" s="6" t="n">
        <f aca="false">IF(B5=0,0,C5/B5)</f>
        <v>0</v>
      </c>
      <c r="F5" s="7" t="n">
        <f aca="false">SUM('AI B-roll'!K2:K11)</f>
        <v>0</v>
      </c>
    </row>
    <row r="6" customFormat="false" ht="15" hidden="false" customHeight="false" outlineLevel="0" collapsed="false">
      <c r="A6" s="5" t="s">
        <v>25</v>
      </c>
      <c r="B6" s="5" t="n">
        <f aca="false">COUNTA('Quote Cards'!A2:A13)</f>
        <v>12</v>
      </c>
      <c r="C6" s="5" t="n">
        <f aca="false">COUNTIF('Quote Cards'!L2:L13,"Downloaded")+COUNTIF('Quote Cards'!L2:L13,"Licence noted")+COUNTIF('Quote Cards'!L2:L13,"In repo")</f>
        <v>0</v>
      </c>
      <c r="D6" s="5" t="n">
        <f aca="false">COUNTIF('Quote Cards'!L2:L13,"In repo")</f>
        <v>0</v>
      </c>
      <c r="E6" s="6" t="n">
        <f aca="false">IF(B6=0,0,C6/B6)</f>
        <v>0</v>
      </c>
      <c r="F6" s="7" t="n">
        <f aca="false">SUM('Quote Cards'!K2:K13)</f>
        <v>0</v>
      </c>
    </row>
    <row r="7" customFormat="false" ht="15" hidden="false" customHeight="false" outlineLevel="0" collapsed="false">
      <c r="A7" s="5" t="s">
        <v>26</v>
      </c>
      <c r="B7" s="5" t="n">
        <f aca="false">COUNTA('Evidence Cards'!A2:A22)</f>
        <v>21</v>
      </c>
      <c r="C7" s="5" t="n">
        <f aca="false">COUNTIF('Evidence Cards'!L2:L22,"Downloaded")+COUNTIF('Evidence Cards'!L2:L22,"Licence noted")+COUNTIF('Evidence Cards'!L2:L22,"In repo")</f>
        <v>0</v>
      </c>
      <c r="D7" s="5" t="n">
        <f aca="false">COUNTIF('Evidence Cards'!L2:L22,"In repo")</f>
        <v>0</v>
      </c>
      <c r="E7" s="6" t="n">
        <f aca="false">IF(B7=0,0,C7/B7)</f>
        <v>0</v>
      </c>
      <c r="F7" s="7" t="n">
        <f aca="false">SUM('Evidence Cards'!K2:K22)</f>
        <v>0</v>
      </c>
    </row>
    <row r="8" customFormat="false" ht="15" hidden="false" customHeight="false" outlineLevel="0" collapsed="false">
      <c r="A8" s="5" t="s">
        <v>27</v>
      </c>
      <c r="B8" s="5" t="n">
        <f aca="false">COUNTA(Maps!A2:A13)</f>
        <v>12</v>
      </c>
      <c r="C8" s="5" t="n">
        <f aca="false">COUNTIF(Maps!L2:L13,"Downloaded")+COUNTIF(Maps!L2:L13,"Licence noted")+COUNTIF(Maps!L2:L13,"In repo")</f>
        <v>0</v>
      </c>
      <c r="D8" s="5" t="n">
        <f aca="false">COUNTIF(Maps!L2:L13,"In repo")</f>
        <v>0</v>
      </c>
      <c r="E8" s="6" t="n">
        <f aca="false">IF(B8=0,0,C8/B8)</f>
        <v>0</v>
      </c>
      <c r="F8" s="7" t="n">
        <f aca="false">SUM(Maps!K2:K13)</f>
        <v>0</v>
      </c>
    </row>
    <row r="9" customFormat="false" ht="15" hidden="false" customHeight="false" outlineLevel="0" collapsed="false">
      <c r="A9" s="5" t="s">
        <v>28</v>
      </c>
      <c r="B9" s="5" t="n">
        <f aca="false">COUNTA(Music!A2:A10)</f>
        <v>9</v>
      </c>
      <c r="C9" s="5" t="n">
        <f aca="false">COUNTIF(Music!L2:L10,"Downloaded")+COUNTIF(Music!L2:L10,"Licence noted")+COUNTIF(Music!L2:L10,"In repo")</f>
        <v>0</v>
      </c>
      <c r="D9" s="5" t="n">
        <f aca="false">COUNTIF(Music!L2:L10,"In repo")</f>
        <v>0</v>
      </c>
      <c r="E9" s="6" t="n">
        <f aca="false">IF(B9=0,0,C9/B9)</f>
        <v>0</v>
      </c>
      <c r="F9" s="7" t="n">
        <f aca="false">SUM(Music!K2:K10)</f>
        <v>0</v>
      </c>
    </row>
    <row r="10" customFormat="false" ht="15" hidden="false" customHeight="false" outlineLevel="0" collapsed="false">
      <c r="A10" s="5" t="s">
        <v>29</v>
      </c>
      <c r="B10" s="5" t="n">
        <f aca="false">COUNTA(SFX!A2:A23)</f>
        <v>22</v>
      </c>
      <c r="C10" s="5" t="n">
        <f aca="false">COUNTIF(SFX!L2:L23,"Downloaded")+COUNTIF(SFX!L2:L23,"Licence noted")+COUNTIF(SFX!L2:L23,"In repo")</f>
        <v>0</v>
      </c>
      <c r="D10" s="5" t="n">
        <f aca="false">COUNTIF(SFX!L2:L23,"In repo")</f>
        <v>0</v>
      </c>
      <c r="E10" s="6" t="n">
        <f aca="false">IF(B10=0,0,C10/B10)</f>
        <v>0</v>
      </c>
      <c r="F10" s="7" t="n">
        <f aca="false">SUM(SFX!K2:K23)</f>
        <v>0</v>
      </c>
    </row>
    <row r="11" customFormat="false" ht="15" hidden="false" customHeight="false" outlineLevel="0" collapsed="false">
      <c r="A11" s="5" t="s">
        <v>30</v>
      </c>
      <c r="B11" s="5" t="n">
        <f aca="false">COUNTA(Voiceover!A2:A47)</f>
        <v>46</v>
      </c>
      <c r="C11" s="5" t="n">
        <f aca="false">COUNTIF(Voiceover!L2:L47,"Downloaded")+COUNTIF(Voiceover!L2:L47,"Licence noted")+COUNTIF(Voiceover!L2:L47,"In repo")</f>
        <v>0</v>
      </c>
      <c r="D11" s="5" t="n">
        <f aca="false">COUNTIF(Voiceover!L2:L47,"In repo")</f>
        <v>0</v>
      </c>
      <c r="E11" s="6" t="n">
        <f aca="false">IF(B11=0,0,C11/B11)</f>
        <v>0</v>
      </c>
      <c r="F11" s="7" t="n">
        <f aca="false">SUM(Voiceover!K2:K47)</f>
        <v>0</v>
      </c>
    </row>
    <row r="12" customFormat="false" ht="15" hidden="false" customHeight="false" outlineLevel="0" collapsed="false">
      <c r="A12" s="8" t="s">
        <v>31</v>
      </c>
      <c r="B12" s="8" t="n">
        <f aca="false">SUM(B2:B11)</f>
        <v>175</v>
      </c>
      <c r="C12" s="8" t="n">
        <f aca="false">SUM(C2:C11)</f>
        <v>0</v>
      </c>
      <c r="D12" s="8" t="n">
        <f aca="false">SUM(D2:D11)</f>
        <v>0</v>
      </c>
      <c r="E12" s="9" t="n">
        <f aca="false">IF(B12=0,0,C12/B12)</f>
        <v>0</v>
      </c>
      <c r="F12" s="10" t="n">
        <f aca="false">SUM(F2:F11)</f>
        <v>0</v>
      </c>
    </row>
    <row r="14" customFormat="false" ht="15" hidden="false" customHeight="false" outlineLevel="0" collapsed="false">
      <c r="A14" s="11" t="s">
        <v>32</v>
      </c>
    </row>
    <row r="16" customFormat="false" ht="15" hidden="false" customHeight="false" outlineLevel="0" collapsed="false">
      <c r="A16" s="12" t="s">
        <v>33</v>
      </c>
    </row>
    <row r="17" customFormat="false" ht="15" hidden="false" customHeight="false" outlineLevel="0" collapsed="false">
      <c r="A17" s="13" t="s">
        <v>34</v>
      </c>
      <c r="B17" s="13" t="n">
        <v>891</v>
      </c>
    </row>
    <row r="18" customFormat="false" ht="15" hidden="false" customHeight="false" outlineLevel="0" collapsed="false">
      <c r="A18" s="13" t="s">
        <v>35</v>
      </c>
      <c r="B18" s="13" t="n">
        <v>884</v>
      </c>
    </row>
    <row r="19" customFormat="false" ht="15" hidden="false" customHeight="false" outlineLevel="0" collapsed="false">
      <c r="A19" s="13" t="s">
        <v>36</v>
      </c>
      <c r="B19" s="14" t="n">
        <f aca="false">B17/(B17+B18)</f>
        <v>0.501971830985916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6"/>
    <col collapsed="false" customWidth="true" hidden="false" outlineLevel="0" max="4" min="4" style="0" width="8"/>
    <col collapsed="false" customWidth="true" hidden="false" outlineLevel="0" max="5" min="5" style="0" width="24"/>
    <col collapsed="false" customWidth="true" hidden="false" outlineLevel="0" max="6" min="6" style="0" width="70"/>
    <col collapsed="false" customWidth="true" hidden="false" outlineLevel="0" max="7" min="7" style="0" width="50"/>
    <col collapsed="false" customWidth="true" hidden="false" outlineLevel="0" max="8" min="8" style="0" width="10"/>
  </cols>
  <sheetData>
    <row r="1" customFormat="false" ht="15" hidden="false" customHeight="false" outlineLevel="0" collapsed="false">
      <c r="A1" s="15" t="s">
        <v>37</v>
      </c>
      <c r="B1" s="15" t="s">
        <v>38</v>
      </c>
      <c r="C1" s="15" t="s">
        <v>39</v>
      </c>
      <c r="D1" s="15" t="s">
        <v>40</v>
      </c>
      <c r="E1" s="15" t="s">
        <v>41</v>
      </c>
      <c r="F1" s="15" t="s">
        <v>42</v>
      </c>
      <c r="G1" s="15" t="s">
        <v>43</v>
      </c>
      <c r="H1" s="15" t="s">
        <v>44</v>
      </c>
    </row>
    <row r="2" customFormat="false" ht="35.05" hidden="false" customHeight="false" outlineLevel="0" collapsed="false">
      <c r="A2" s="16" t="s">
        <v>45</v>
      </c>
      <c r="B2" s="16" t="s">
        <v>46</v>
      </c>
      <c r="C2" s="16" t="s">
        <v>47</v>
      </c>
      <c r="D2" s="16" t="s">
        <v>48</v>
      </c>
      <c r="E2" s="16" t="s">
        <v>49</v>
      </c>
      <c r="F2" s="16" t="s">
        <v>50</v>
      </c>
      <c r="G2" s="16" t="s">
        <v>51</v>
      </c>
      <c r="H2" s="16"/>
    </row>
    <row r="3" customFormat="false" ht="46.25" hidden="false" customHeight="false" outlineLevel="0" collapsed="false">
      <c r="A3" s="16" t="s">
        <v>52</v>
      </c>
      <c r="B3" s="16" t="s">
        <v>53</v>
      </c>
      <c r="C3" s="16" t="s">
        <v>47</v>
      </c>
      <c r="D3" s="16" t="s">
        <v>54</v>
      </c>
      <c r="E3" s="16" t="s">
        <v>55</v>
      </c>
      <c r="F3" s="16" t="s">
        <v>56</v>
      </c>
      <c r="G3" s="16" t="s">
        <v>57</v>
      </c>
      <c r="H3" s="16"/>
    </row>
    <row r="4" customFormat="false" ht="23.85" hidden="false" customHeight="false" outlineLevel="0" collapsed="false">
      <c r="A4" s="16" t="s">
        <v>58</v>
      </c>
      <c r="B4" s="16" t="s">
        <v>59</v>
      </c>
      <c r="C4" s="16" t="s">
        <v>47</v>
      </c>
      <c r="D4" s="16" t="s">
        <v>48</v>
      </c>
      <c r="E4" s="16" t="s">
        <v>60</v>
      </c>
      <c r="F4" s="16" t="s">
        <v>61</v>
      </c>
      <c r="G4" s="16" t="s">
        <v>62</v>
      </c>
      <c r="H4" s="16"/>
    </row>
    <row r="5" customFormat="false" ht="35.05" hidden="false" customHeight="false" outlineLevel="0" collapsed="false">
      <c r="A5" s="16" t="s">
        <v>63</v>
      </c>
      <c r="B5" s="16" t="s">
        <v>64</v>
      </c>
      <c r="C5" s="16" t="s">
        <v>47</v>
      </c>
      <c r="D5" s="16" t="s">
        <v>54</v>
      </c>
      <c r="E5" s="16" t="s">
        <v>65</v>
      </c>
      <c r="F5" s="16" t="s">
        <v>66</v>
      </c>
      <c r="G5" s="16" t="s">
        <v>67</v>
      </c>
      <c r="H5" s="16"/>
    </row>
    <row r="6" customFormat="false" ht="23.85" hidden="false" customHeight="false" outlineLevel="0" collapsed="false">
      <c r="A6" s="16" t="s">
        <v>68</v>
      </c>
      <c r="B6" s="16" t="s">
        <v>69</v>
      </c>
      <c r="C6" s="16" t="s">
        <v>47</v>
      </c>
      <c r="D6" s="16" t="s">
        <v>48</v>
      </c>
      <c r="E6" s="16" t="s">
        <v>70</v>
      </c>
      <c r="F6" s="16" t="s">
        <v>71</v>
      </c>
      <c r="G6" s="16" t="s">
        <v>72</v>
      </c>
      <c r="H6" s="16"/>
    </row>
    <row r="7" customFormat="false" ht="23.85" hidden="false" customHeight="false" outlineLevel="0" collapsed="false">
      <c r="A7" s="16" t="s">
        <v>73</v>
      </c>
      <c r="B7" s="16" t="s">
        <v>74</v>
      </c>
      <c r="C7" s="16" t="s">
        <v>47</v>
      </c>
      <c r="D7" s="16" t="s">
        <v>54</v>
      </c>
      <c r="E7" s="16" t="s">
        <v>75</v>
      </c>
      <c r="F7" s="16" t="s">
        <v>76</v>
      </c>
      <c r="G7" s="16" t="s">
        <v>77</v>
      </c>
      <c r="H7" s="16"/>
    </row>
    <row r="8" customFormat="false" ht="23.85" hidden="false" customHeight="false" outlineLevel="0" collapsed="false">
      <c r="A8" s="16" t="s">
        <v>78</v>
      </c>
      <c r="B8" s="16" t="s">
        <v>79</v>
      </c>
      <c r="C8" s="16" t="s">
        <v>47</v>
      </c>
      <c r="D8" s="16" t="s">
        <v>48</v>
      </c>
      <c r="E8" s="16" t="s">
        <v>80</v>
      </c>
      <c r="F8" s="16" t="s">
        <v>81</v>
      </c>
      <c r="G8" s="16" t="s">
        <v>82</v>
      </c>
      <c r="H8" s="16"/>
    </row>
    <row r="9" customFormat="false" ht="35.05" hidden="false" customHeight="false" outlineLevel="0" collapsed="false">
      <c r="A9" s="16" t="s">
        <v>83</v>
      </c>
      <c r="B9" s="16" t="s">
        <v>84</v>
      </c>
      <c r="C9" s="16" t="s">
        <v>85</v>
      </c>
      <c r="D9" s="16" t="s">
        <v>54</v>
      </c>
      <c r="E9" s="16" t="s">
        <v>86</v>
      </c>
      <c r="F9" s="16" t="s">
        <v>87</v>
      </c>
      <c r="G9" s="16" t="s">
        <v>88</v>
      </c>
      <c r="H9" s="16"/>
    </row>
    <row r="10" customFormat="false" ht="35.05" hidden="false" customHeight="false" outlineLevel="0" collapsed="false">
      <c r="A10" s="16" t="s">
        <v>89</v>
      </c>
      <c r="B10" s="16" t="s">
        <v>90</v>
      </c>
      <c r="C10" s="16" t="s">
        <v>85</v>
      </c>
      <c r="D10" s="16" t="s">
        <v>48</v>
      </c>
      <c r="E10" s="16" t="s">
        <v>91</v>
      </c>
      <c r="F10" s="16" t="s">
        <v>92</v>
      </c>
      <c r="G10" s="16" t="s">
        <v>93</v>
      </c>
      <c r="H10" s="16"/>
    </row>
    <row r="11" customFormat="false" ht="57.45" hidden="false" customHeight="false" outlineLevel="0" collapsed="false">
      <c r="A11" s="16" t="s">
        <v>94</v>
      </c>
      <c r="B11" s="16" t="s">
        <v>95</v>
      </c>
      <c r="C11" s="16" t="s">
        <v>85</v>
      </c>
      <c r="D11" s="16" t="s">
        <v>54</v>
      </c>
      <c r="E11" s="16" t="s">
        <v>96</v>
      </c>
      <c r="F11" s="16" t="s">
        <v>97</v>
      </c>
      <c r="G11" s="16" t="s">
        <v>98</v>
      </c>
      <c r="H11" s="16"/>
    </row>
    <row r="12" customFormat="false" ht="46.25" hidden="false" customHeight="false" outlineLevel="0" collapsed="false">
      <c r="A12" s="16" t="s">
        <v>99</v>
      </c>
      <c r="B12" s="16" t="s">
        <v>100</v>
      </c>
      <c r="C12" s="16" t="s">
        <v>85</v>
      </c>
      <c r="D12" s="16" t="s">
        <v>48</v>
      </c>
      <c r="E12" s="16" t="s">
        <v>101</v>
      </c>
      <c r="F12" s="16" t="s">
        <v>102</v>
      </c>
      <c r="G12" s="16" t="s">
        <v>103</v>
      </c>
      <c r="H12" s="16"/>
    </row>
    <row r="13" customFormat="false" ht="35.05" hidden="false" customHeight="false" outlineLevel="0" collapsed="false">
      <c r="A13" s="16" t="s">
        <v>104</v>
      </c>
      <c r="B13" s="16" t="s">
        <v>105</v>
      </c>
      <c r="C13" s="16" t="s">
        <v>85</v>
      </c>
      <c r="D13" s="16" t="s">
        <v>54</v>
      </c>
      <c r="E13" s="16" t="s">
        <v>106</v>
      </c>
      <c r="F13" s="16" t="s">
        <v>107</v>
      </c>
      <c r="G13" s="16" t="s">
        <v>108</v>
      </c>
      <c r="H13" s="16" t="s">
        <v>109</v>
      </c>
    </row>
    <row r="14" customFormat="false" ht="35.05" hidden="false" customHeight="false" outlineLevel="0" collapsed="false">
      <c r="A14" s="16" t="s">
        <v>110</v>
      </c>
      <c r="B14" s="16" t="s">
        <v>111</v>
      </c>
      <c r="C14" s="16" t="s">
        <v>112</v>
      </c>
      <c r="D14" s="16" t="s">
        <v>48</v>
      </c>
      <c r="E14" s="16" t="s">
        <v>113</v>
      </c>
      <c r="F14" s="16" t="s">
        <v>114</v>
      </c>
      <c r="G14" s="16" t="s">
        <v>115</v>
      </c>
      <c r="H14" s="16"/>
    </row>
    <row r="15" customFormat="false" ht="35.05" hidden="false" customHeight="false" outlineLevel="0" collapsed="false">
      <c r="A15" s="16" t="s">
        <v>116</v>
      </c>
      <c r="B15" s="16" t="s">
        <v>117</v>
      </c>
      <c r="C15" s="16" t="s">
        <v>112</v>
      </c>
      <c r="D15" s="16" t="s">
        <v>54</v>
      </c>
      <c r="E15" s="16" t="s">
        <v>118</v>
      </c>
      <c r="F15" s="16" t="s">
        <v>119</v>
      </c>
      <c r="G15" s="16" t="s">
        <v>120</v>
      </c>
      <c r="H15" s="16"/>
    </row>
    <row r="16" customFormat="false" ht="46.25" hidden="false" customHeight="false" outlineLevel="0" collapsed="false">
      <c r="A16" s="16" t="s">
        <v>121</v>
      </c>
      <c r="B16" s="16" t="s">
        <v>122</v>
      </c>
      <c r="C16" s="16" t="s">
        <v>112</v>
      </c>
      <c r="D16" s="16" t="s">
        <v>48</v>
      </c>
      <c r="E16" s="16" t="s">
        <v>123</v>
      </c>
      <c r="F16" s="16" t="s">
        <v>124</v>
      </c>
      <c r="G16" s="16" t="s">
        <v>125</v>
      </c>
      <c r="H16" s="16"/>
    </row>
    <row r="17" customFormat="false" ht="57.45" hidden="false" customHeight="false" outlineLevel="0" collapsed="false">
      <c r="A17" s="16" t="s">
        <v>126</v>
      </c>
      <c r="B17" s="16" t="s">
        <v>127</v>
      </c>
      <c r="C17" s="16" t="s">
        <v>112</v>
      </c>
      <c r="D17" s="16" t="s">
        <v>54</v>
      </c>
      <c r="E17" s="16" t="s">
        <v>128</v>
      </c>
      <c r="F17" s="16" t="s">
        <v>129</v>
      </c>
      <c r="G17" s="16" t="s">
        <v>130</v>
      </c>
      <c r="H17" s="16"/>
    </row>
    <row r="18" customFormat="false" ht="23.85" hidden="false" customHeight="false" outlineLevel="0" collapsed="false">
      <c r="A18" s="16" t="s">
        <v>131</v>
      </c>
      <c r="B18" s="16" t="s">
        <v>132</v>
      </c>
      <c r="C18" s="16" t="s">
        <v>112</v>
      </c>
      <c r="D18" s="16" t="s">
        <v>48</v>
      </c>
      <c r="E18" s="16" t="s">
        <v>133</v>
      </c>
      <c r="F18" s="16" t="s">
        <v>134</v>
      </c>
      <c r="G18" s="16" t="s">
        <v>135</v>
      </c>
      <c r="H18" s="16"/>
    </row>
    <row r="19" customFormat="false" ht="35.05" hidden="false" customHeight="false" outlineLevel="0" collapsed="false">
      <c r="A19" s="16" t="s">
        <v>136</v>
      </c>
      <c r="B19" s="16" t="s">
        <v>137</v>
      </c>
      <c r="C19" s="16" t="s">
        <v>138</v>
      </c>
      <c r="D19" s="16" t="s">
        <v>54</v>
      </c>
      <c r="E19" s="16" t="s">
        <v>139</v>
      </c>
      <c r="F19" s="16" t="s">
        <v>140</v>
      </c>
      <c r="G19" s="16" t="s">
        <v>141</v>
      </c>
      <c r="H19" s="16"/>
    </row>
    <row r="20" customFormat="false" ht="46.25" hidden="false" customHeight="false" outlineLevel="0" collapsed="false">
      <c r="A20" s="16" t="s">
        <v>142</v>
      </c>
      <c r="B20" s="16" t="s">
        <v>143</v>
      </c>
      <c r="C20" s="16" t="s">
        <v>138</v>
      </c>
      <c r="D20" s="16" t="s">
        <v>48</v>
      </c>
      <c r="E20" s="16" t="s">
        <v>144</v>
      </c>
      <c r="F20" s="16" t="s">
        <v>145</v>
      </c>
      <c r="G20" s="16" t="s">
        <v>146</v>
      </c>
      <c r="H20" s="16"/>
    </row>
    <row r="21" customFormat="false" ht="57.45" hidden="false" customHeight="false" outlineLevel="0" collapsed="false">
      <c r="A21" s="16" t="s">
        <v>147</v>
      </c>
      <c r="B21" s="16" t="s">
        <v>148</v>
      </c>
      <c r="C21" s="16" t="s">
        <v>138</v>
      </c>
      <c r="D21" s="16" t="s">
        <v>54</v>
      </c>
      <c r="E21" s="16" t="s">
        <v>149</v>
      </c>
      <c r="F21" s="16" t="s">
        <v>150</v>
      </c>
      <c r="G21" s="16" t="s">
        <v>151</v>
      </c>
      <c r="H21" s="16"/>
    </row>
    <row r="22" customFormat="false" ht="57.45" hidden="false" customHeight="false" outlineLevel="0" collapsed="false">
      <c r="A22" s="16" t="s">
        <v>152</v>
      </c>
      <c r="B22" s="16" t="s">
        <v>153</v>
      </c>
      <c r="C22" s="16" t="s">
        <v>138</v>
      </c>
      <c r="D22" s="16" t="s">
        <v>48</v>
      </c>
      <c r="E22" s="16" t="s">
        <v>154</v>
      </c>
      <c r="F22" s="16" t="s">
        <v>155</v>
      </c>
      <c r="G22" s="16" t="s">
        <v>156</v>
      </c>
      <c r="H22" s="16"/>
    </row>
    <row r="23" customFormat="false" ht="35.05" hidden="false" customHeight="false" outlineLevel="0" collapsed="false">
      <c r="A23" s="16" t="s">
        <v>157</v>
      </c>
      <c r="B23" s="16" t="s">
        <v>158</v>
      </c>
      <c r="C23" s="16" t="s">
        <v>138</v>
      </c>
      <c r="D23" s="16" t="s">
        <v>54</v>
      </c>
      <c r="E23" s="16" t="s">
        <v>159</v>
      </c>
      <c r="F23" s="16" t="s">
        <v>160</v>
      </c>
      <c r="G23" s="16" t="s">
        <v>161</v>
      </c>
      <c r="H23" s="16"/>
    </row>
    <row r="24" customFormat="false" ht="35.05" hidden="false" customHeight="false" outlineLevel="0" collapsed="false">
      <c r="A24" s="16" t="s">
        <v>162</v>
      </c>
      <c r="B24" s="16" t="s">
        <v>163</v>
      </c>
      <c r="C24" s="16" t="s">
        <v>138</v>
      </c>
      <c r="D24" s="16" t="s">
        <v>48</v>
      </c>
      <c r="E24" s="16" t="s">
        <v>164</v>
      </c>
      <c r="F24" s="16" t="s">
        <v>165</v>
      </c>
      <c r="G24" s="16" t="s">
        <v>166</v>
      </c>
      <c r="H24" s="16"/>
    </row>
    <row r="25" customFormat="false" ht="46.25" hidden="false" customHeight="false" outlineLevel="0" collapsed="false">
      <c r="A25" s="16" t="s">
        <v>167</v>
      </c>
      <c r="B25" s="16" t="s">
        <v>168</v>
      </c>
      <c r="C25" s="16" t="s">
        <v>169</v>
      </c>
      <c r="D25" s="16" t="s">
        <v>54</v>
      </c>
      <c r="E25" s="16" t="s">
        <v>170</v>
      </c>
      <c r="F25" s="16" t="s">
        <v>171</v>
      </c>
      <c r="G25" s="16" t="s">
        <v>172</v>
      </c>
      <c r="H25" s="16"/>
    </row>
    <row r="26" customFormat="false" ht="35.05" hidden="false" customHeight="false" outlineLevel="0" collapsed="false">
      <c r="A26" s="16" t="s">
        <v>173</v>
      </c>
      <c r="B26" s="16" t="s">
        <v>174</v>
      </c>
      <c r="C26" s="16" t="s">
        <v>169</v>
      </c>
      <c r="D26" s="16" t="s">
        <v>48</v>
      </c>
      <c r="E26" s="16" t="s">
        <v>175</v>
      </c>
      <c r="F26" s="16" t="s">
        <v>176</v>
      </c>
      <c r="G26" s="16" t="s">
        <v>177</v>
      </c>
      <c r="H26" s="16"/>
    </row>
    <row r="27" customFormat="false" ht="46.25" hidden="false" customHeight="false" outlineLevel="0" collapsed="false">
      <c r="A27" s="16" t="s">
        <v>178</v>
      </c>
      <c r="B27" s="16" t="s">
        <v>179</v>
      </c>
      <c r="C27" s="16" t="s">
        <v>169</v>
      </c>
      <c r="D27" s="16" t="s">
        <v>54</v>
      </c>
      <c r="E27" s="16" t="s">
        <v>180</v>
      </c>
      <c r="F27" s="16" t="s">
        <v>181</v>
      </c>
      <c r="G27" s="16" t="s">
        <v>182</v>
      </c>
      <c r="H27" s="16"/>
    </row>
    <row r="28" customFormat="false" ht="57.45" hidden="false" customHeight="false" outlineLevel="0" collapsed="false">
      <c r="A28" s="16" t="s">
        <v>183</v>
      </c>
      <c r="B28" s="16" t="s">
        <v>184</v>
      </c>
      <c r="C28" s="16" t="s">
        <v>169</v>
      </c>
      <c r="D28" s="16" t="s">
        <v>48</v>
      </c>
      <c r="E28" s="16" t="s">
        <v>185</v>
      </c>
      <c r="F28" s="16" t="s">
        <v>186</v>
      </c>
      <c r="G28" s="16" t="s">
        <v>187</v>
      </c>
      <c r="H28" s="16"/>
    </row>
    <row r="29" customFormat="false" ht="23.85" hidden="false" customHeight="false" outlineLevel="0" collapsed="false">
      <c r="A29" s="16" t="s">
        <v>188</v>
      </c>
      <c r="B29" s="16" t="s">
        <v>189</v>
      </c>
      <c r="C29" s="16" t="s">
        <v>169</v>
      </c>
      <c r="D29" s="16" t="s">
        <v>54</v>
      </c>
      <c r="E29" s="16" t="s">
        <v>190</v>
      </c>
      <c r="F29" s="16" t="s">
        <v>191</v>
      </c>
      <c r="G29" s="16" t="s">
        <v>192</v>
      </c>
      <c r="H29" s="16" t="s">
        <v>109</v>
      </c>
    </row>
    <row r="30" customFormat="false" ht="35.05" hidden="false" customHeight="false" outlineLevel="0" collapsed="false">
      <c r="A30" s="16" t="s">
        <v>193</v>
      </c>
      <c r="B30" s="16" t="s">
        <v>194</v>
      </c>
      <c r="C30" s="16" t="s">
        <v>195</v>
      </c>
      <c r="D30" s="16" t="s">
        <v>48</v>
      </c>
      <c r="E30" s="16" t="s">
        <v>196</v>
      </c>
      <c r="F30" s="16" t="s">
        <v>197</v>
      </c>
      <c r="G30" s="16" t="s">
        <v>198</v>
      </c>
      <c r="H30" s="16"/>
    </row>
    <row r="31" customFormat="false" ht="57.45" hidden="false" customHeight="false" outlineLevel="0" collapsed="false">
      <c r="A31" s="16" t="s">
        <v>199</v>
      </c>
      <c r="B31" s="16" t="s">
        <v>200</v>
      </c>
      <c r="C31" s="16" t="s">
        <v>195</v>
      </c>
      <c r="D31" s="16" t="s">
        <v>54</v>
      </c>
      <c r="E31" s="16" t="s">
        <v>201</v>
      </c>
      <c r="F31" s="16" t="s">
        <v>202</v>
      </c>
      <c r="G31" s="16" t="s">
        <v>203</v>
      </c>
      <c r="H31" s="16"/>
    </row>
    <row r="32" customFormat="false" ht="46.25" hidden="false" customHeight="false" outlineLevel="0" collapsed="false">
      <c r="A32" s="16" t="s">
        <v>204</v>
      </c>
      <c r="B32" s="16" t="s">
        <v>205</v>
      </c>
      <c r="C32" s="16" t="s">
        <v>195</v>
      </c>
      <c r="D32" s="16" t="s">
        <v>48</v>
      </c>
      <c r="E32" s="16" t="s">
        <v>206</v>
      </c>
      <c r="F32" s="16" t="s">
        <v>207</v>
      </c>
      <c r="G32" s="16" t="s">
        <v>208</v>
      </c>
      <c r="H32" s="16"/>
    </row>
    <row r="33" customFormat="false" ht="57.45" hidden="false" customHeight="false" outlineLevel="0" collapsed="false">
      <c r="A33" s="16" t="s">
        <v>209</v>
      </c>
      <c r="B33" s="16" t="s">
        <v>210</v>
      </c>
      <c r="C33" s="16" t="s">
        <v>195</v>
      </c>
      <c r="D33" s="16" t="s">
        <v>54</v>
      </c>
      <c r="E33" s="16" t="s">
        <v>211</v>
      </c>
      <c r="F33" s="16" t="s">
        <v>212</v>
      </c>
      <c r="G33" s="16" t="s">
        <v>213</v>
      </c>
      <c r="H33" s="16"/>
    </row>
    <row r="34" customFormat="false" ht="46.25" hidden="false" customHeight="false" outlineLevel="0" collapsed="false">
      <c r="A34" s="16" t="s">
        <v>214</v>
      </c>
      <c r="B34" s="16" t="s">
        <v>215</v>
      </c>
      <c r="C34" s="16" t="s">
        <v>195</v>
      </c>
      <c r="D34" s="16" t="s">
        <v>48</v>
      </c>
      <c r="E34" s="16" t="s">
        <v>216</v>
      </c>
      <c r="F34" s="16" t="s">
        <v>217</v>
      </c>
      <c r="G34" s="16" t="s">
        <v>218</v>
      </c>
      <c r="H34" s="16"/>
    </row>
    <row r="35" customFormat="false" ht="23.85" hidden="false" customHeight="false" outlineLevel="0" collapsed="false">
      <c r="A35" s="16" t="s">
        <v>219</v>
      </c>
      <c r="B35" s="16" t="s">
        <v>220</v>
      </c>
      <c r="C35" s="16" t="s">
        <v>195</v>
      </c>
      <c r="D35" s="16" t="s">
        <v>54</v>
      </c>
      <c r="E35" s="16" t="s">
        <v>221</v>
      </c>
      <c r="F35" s="16" t="s">
        <v>222</v>
      </c>
      <c r="G35" s="16" t="s">
        <v>223</v>
      </c>
      <c r="H35" s="16"/>
    </row>
    <row r="36" customFormat="false" ht="23.85" hidden="false" customHeight="false" outlineLevel="0" collapsed="false">
      <c r="A36" s="16" t="s">
        <v>224</v>
      </c>
      <c r="B36" s="16" t="s">
        <v>225</v>
      </c>
      <c r="C36" s="16" t="s">
        <v>195</v>
      </c>
      <c r="D36" s="16" t="s">
        <v>48</v>
      </c>
      <c r="E36" s="16" t="s">
        <v>226</v>
      </c>
      <c r="F36" s="16" t="s">
        <v>227</v>
      </c>
      <c r="G36" s="16" t="s">
        <v>228</v>
      </c>
      <c r="H36" s="16"/>
    </row>
    <row r="37" customFormat="false" ht="35.05" hidden="false" customHeight="false" outlineLevel="0" collapsed="false">
      <c r="A37" s="16" t="s">
        <v>229</v>
      </c>
      <c r="B37" s="16" t="s">
        <v>230</v>
      </c>
      <c r="C37" s="16" t="s">
        <v>231</v>
      </c>
      <c r="D37" s="16" t="s">
        <v>54</v>
      </c>
      <c r="E37" s="16" t="s">
        <v>232</v>
      </c>
      <c r="F37" s="16" t="s">
        <v>233</v>
      </c>
      <c r="G37" s="16" t="s">
        <v>234</v>
      </c>
      <c r="H37" s="16"/>
    </row>
    <row r="38" customFormat="false" ht="35.05" hidden="false" customHeight="false" outlineLevel="0" collapsed="false">
      <c r="A38" s="16" t="s">
        <v>235</v>
      </c>
      <c r="B38" s="16" t="s">
        <v>236</v>
      </c>
      <c r="C38" s="16" t="s">
        <v>231</v>
      </c>
      <c r="D38" s="16" t="s">
        <v>48</v>
      </c>
      <c r="E38" s="16" t="s">
        <v>237</v>
      </c>
      <c r="F38" s="16" t="s">
        <v>238</v>
      </c>
      <c r="G38" s="16" t="s">
        <v>239</v>
      </c>
      <c r="H38" s="16"/>
    </row>
    <row r="39" customFormat="false" ht="23.85" hidden="false" customHeight="false" outlineLevel="0" collapsed="false">
      <c r="A39" s="16" t="s">
        <v>240</v>
      </c>
      <c r="B39" s="16" t="s">
        <v>241</v>
      </c>
      <c r="C39" s="16" t="s">
        <v>231</v>
      </c>
      <c r="D39" s="16" t="s">
        <v>54</v>
      </c>
      <c r="E39" s="16" t="s">
        <v>242</v>
      </c>
      <c r="F39" s="16" t="s">
        <v>243</v>
      </c>
      <c r="G39" s="16" t="s">
        <v>244</v>
      </c>
      <c r="H39" s="16"/>
    </row>
    <row r="40" customFormat="false" ht="23.85" hidden="false" customHeight="false" outlineLevel="0" collapsed="false">
      <c r="A40" s="16" t="s">
        <v>245</v>
      </c>
      <c r="B40" s="16" t="s">
        <v>246</v>
      </c>
      <c r="C40" s="16" t="s">
        <v>231</v>
      </c>
      <c r="D40" s="16" t="s">
        <v>48</v>
      </c>
      <c r="E40" s="16" t="s">
        <v>247</v>
      </c>
      <c r="F40" s="16" t="s">
        <v>248</v>
      </c>
      <c r="G40" s="16" t="s">
        <v>249</v>
      </c>
      <c r="H40" s="16"/>
    </row>
    <row r="41" customFormat="false" ht="35.05" hidden="false" customHeight="false" outlineLevel="0" collapsed="false">
      <c r="A41" s="16" t="s">
        <v>250</v>
      </c>
      <c r="B41" s="16" t="s">
        <v>251</v>
      </c>
      <c r="C41" s="16" t="s">
        <v>231</v>
      </c>
      <c r="D41" s="16" t="s">
        <v>54</v>
      </c>
      <c r="E41" s="16" t="s">
        <v>252</v>
      </c>
      <c r="F41" s="16" t="s">
        <v>253</v>
      </c>
      <c r="G41" s="16" t="s">
        <v>254</v>
      </c>
      <c r="H41" s="16"/>
    </row>
    <row r="42" customFormat="false" ht="46.25" hidden="false" customHeight="false" outlineLevel="0" collapsed="false">
      <c r="A42" s="16" t="s">
        <v>255</v>
      </c>
      <c r="B42" s="16" t="s">
        <v>256</v>
      </c>
      <c r="C42" s="16" t="s">
        <v>231</v>
      </c>
      <c r="D42" s="16" t="s">
        <v>48</v>
      </c>
      <c r="E42" s="16" t="s">
        <v>257</v>
      </c>
      <c r="F42" s="16" t="s">
        <v>258</v>
      </c>
      <c r="G42" s="16" t="s">
        <v>259</v>
      </c>
      <c r="H42" s="16"/>
    </row>
    <row r="43" customFormat="false" ht="57.45" hidden="false" customHeight="false" outlineLevel="0" collapsed="false">
      <c r="A43" s="16" t="s">
        <v>260</v>
      </c>
      <c r="B43" s="16" t="s">
        <v>261</v>
      </c>
      <c r="C43" s="16" t="s">
        <v>231</v>
      </c>
      <c r="D43" s="16" t="s">
        <v>54</v>
      </c>
      <c r="E43" s="16" t="s">
        <v>262</v>
      </c>
      <c r="F43" s="16" t="s">
        <v>263</v>
      </c>
      <c r="G43" s="16" t="s">
        <v>264</v>
      </c>
      <c r="H43" s="16"/>
    </row>
    <row r="44" customFormat="false" ht="35.05" hidden="false" customHeight="false" outlineLevel="0" collapsed="false">
      <c r="A44" s="16" t="s">
        <v>265</v>
      </c>
      <c r="B44" s="16" t="s">
        <v>266</v>
      </c>
      <c r="C44" s="16" t="s">
        <v>267</v>
      </c>
      <c r="D44" s="16" t="s">
        <v>48</v>
      </c>
      <c r="E44" s="16" t="s">
        <v>268</v>
      </c>
      <c r="F44" s="16" t="s">
        <v>269</v>
      </c>
      <c r="G44" s="16" t="s">
        <v>270</v>
      </c>
      <c r="H44" s="16"/>
    </row>
    <row r="45" customFormat="false" ht="35.05" hidden="false" customHeight="false" outlineLevel="0" collapsed="false">
      <c r="A45" s="16" t="s">
        <v>271</v>
      </c>
      <c r="B45" s="16" t="s">
        <v>272</v>
      </c>
      <c r="C45" s="16" t="s">
        <v>267</v>
      </c>
      <c r="D45" s="16" t="s">
        <v>54</v>
      </c>
      <c r="E45" s="16" t="s">
        <v>273</v>
      </c>
      <c r="F45" s="16" t="s">
        <v>274</v>
      </c>
      <c r="G45" s="16" t="s">
        <v>275</v>
      </c>
      <c r="H45" s="16"/>
    </row>
    <row r="46" customFormat="false" ht="46.25" hidden="false" customHeight="false" outlineLevel="0" collapsed="false">
      <c r="A46" s="16" t="s">
        <v>276</v>
      </c>
      <c r="B46" s="16" t="s">
        <v>277</v>
      </c>
      <c r="C46" s="16" t="s">
        <v>267</v>
      </c>
      <c r="D46" s="16" t="s">
        <v>48</v>
      </c>
      <c r="E46" s="16" t="s">
        <v>278</v>
      </c>
      <c r="F46" s="16" t="s">
        <v>279</v>
      </c>
      <c r="G46" s="16" t="s">
        <v>280</v>
      </c>
      <c r="H46" s="16"/>
    </row>
    <row r="47" customFormat="false" ht="23.85" hidden="false" customHeight="false" outlineLevel="0" collapsed="false">
      <c r="A47" s="16" t="s">
        <v>281</v>
      </c>
      <c r="B47" s="16" t="s">
        <v>282</v>
      </c>
      <c r="C47" s="16" t="s">
        <v>267</v>
      </c>
      <c r="D47" s="16" t="s">
        <v>54</v>
      </c>
      <c r="E47" s="16" t="s">
        <v>283</v>
      </c>
      <c r="F47" s="16" t="s">
        <v>284</v>
      </c>
      <c r="G47" s="16" t="s">
        <v>285</v>
      </c>
      <c r="H47"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23.85" hidden="false" customHeight="false" outlineLevel="0" collapsed="false">
      <c r="A2" s="18" t="s">
        <v>300</v>
      </c>
      <c r="B2" s="16" t="s">
        <v>301</v>
      </c>
      <c r="C2" s="16" t="s">
        <v>302</v>
      </c>
      <c r="D2" s="16" t="s">
        <v>136</v>
      </c>
      <c r="E2" s="16" t="s">
        <v>137</v>
      </c>
      <c r="F2" s="16" t="s">
        <v>303</v>
      </c>
      <c r="G2" s="16" t="s">
        <v>304</v>
      </c>
      <c r="H2" s="16" t="s">
        <v>305</v>
      </c>
      <c r="I2" s="16" t="s">
        <v>306</v>
      </c>
      <c r="J2" s="16" t="s">
        <v>307</v>
      </c>
      <c r="K2" s="19" t="n">
        <v>0</v>
      </c>
      <c r="L2" s="20" t="s">
        <v>308</v>
      </c>
      <c r="M2" s="20"/>
      <c r="N2" s="20"/>
    </row>
    <row r="3" customFormat="false" ht="23.85" hidden="false" customHeight="false" outlineLevel="0" collapsed="false">
      <c r="A3" s="18" t="s">
        <v>309</v>
      </c>
      <c r="B3" s="16" t="s">
        <v>310</v>
      </c>
      <c r="C3" s="16" t="s">
        <v>311</v>
      </c>
      <c r="D3" s="16" t="s">
        <v>116</v>
      </c>
      <c r="E3" s="16" t="s">
        <v>117</v>
      </c>
      <c r="F3" s="16" t="s">
        <v>312</v>
      </c>
      <c r="G3" s="16" t="s">
        <v>313</v>
      </c>
      <c r="H3" s="16" t="s">
        <v>314</v>
      </c>
      <c r="I3" s="16" t="s">
        <v>306</v>
      </c>
      <c r="J3" s="16" t="s">
        <v>315</v>
      </c>
      <c r="K3" s="19" t="n">
        <v>0</v>
      </c>
      <c r="L3" s="20" t="s">
        <v>308</v>
      </c>
      <c r="M3" s="20"/>
      <c r="N3" s="20"/>
    </row>
    <row r="4" customFormat="false" ht="23.85" hidden="false" customHeight="false" outlineLevel="0" collapsed="false">
      <c r="A4" s="18" t="s">
        <v>316</v>
      </c>
      <c r="B4" s="16" t="s">
        <v>317</v>
      </c>
      <c r="C4" s="16" t="s">
        <v>318</v>
      </c>
      <c r="D4" s="16" t="s">
        <v>152</v>
      </c>
      <c r="E4" s="16" t="s">
        <v>153</v>
      </c>
      <c r="F4" s="16" t="s">
        <v>319</v>
      </c>
      <c r="G4" s="16" t="s">
        <v>320</v>
      </c>
      <c r="H4" s="16" t="s">
        <v>321</v>
      </c>
      <c r="I4" s="16" t="s">
        <v>322</v>
      </c>
      <c r="J4" s="16" t="s">
        <v>323</v>
      </c>
      <c r="K4" s="19" t="n">
        <v>0</v>
      </c>
      <c r="L4" s="20" t="s">
        <v>308</v>
      </c>
      <c r="M4" s="20"/>
      <c r="N4" s="20"/>
    </row>
    <row r="5" customFormat="false" ht="23.85" hidden="false" customHeight="false" outlineLevel="0" collapsed="false">
      <c r="A5" s="18" t="s">
        <v>324</v>
      </c>
      <c r="B5" s="16" t="s">
        <v>325</v>
      </c>
      <c r="C5" s="16" t="s">
        <v>326</v>
      </c>
      <c r="D5" s="16" t="s">
        <v>110</v>
      </c>
      <c r="E5" s="16" t="s">
        <v>111</v>
      </c>
      <c r="F5" s="16" t="s">
        <v>327</v>
      </c>
      <c r="G5" s="16" t="s">
        <v>328</v>
      </c>
      <c r="H5" s="16" t="s">
        <v>329</v>
      </c>
      <c r="I5" s="16" t="s">
        <v>322</v>
      </c>
      <c r="J5" s="16" t="s">
        <v>330</v>
      </c>
      <c r="K5" s="19" t="n">
        <v>0</v>
      </c>
      <c r="L5" s="20" t="s">
        <v>308</v>
      </c>
      <c r="M5" s="20"/>
      <c r="N5" s="20"/>
    </row>
    <row r="6" customFormat="false" ht="23.85" hidden="false" customHeight="false" outlineLevel="0" collapsed="false">
      <c r="A6" s="18" t="s">
        <v>331</v>
      </c>
      <c r="B6" s="16" t="s">
        <v>332</v>
      </c>
      <c r="C6" s="16" t="s">
        <v>333</v>
      </c>
      <c r="D6" s="16" t="s">
        <v>260</v>
      </c>
      <c r="E6" s="16" t="s">
        <v>261</v>
      </c>
      <c r="F6" s="16" t="s">
        <v>334</v>
      </c>
      <c r="G6" s="16" t="s">
        <v>335</v>
      </c>
      <c r="H6" s="16" t="s">
        <v>336</v>
      </c>
      <c r="I6" s="16" t="s">
        <v>306</v>
      </c>
      <c r="J6" s="16" t="s">
        <v>337</v>
      </c>
      <c r="K6" s="19" t="n">
        <v>0</v>
      </c>
      <c r="L6" s="20" t="s">
        <v>308</v>
      </c>
      <c r="M6" s="20"/>
      <c r="N6" s="20"/>
    </row>
    <row r="7" customFormat="false" ht="23.85" hidden="false" customHeight="false" outlineLevel="0" collapsed="false">
      <c r="A7" s="18" t="s">
        <v>338</v>
      </c>
      <c r="B7" s="16" t="s">
        <v>339</v>
      </c>
      <c r="C7" s="16" t="s">
        <v>340</v>
      </c>
      <c r="D7" s="16" t="s">
        <v>99</v>
      </c>
      <c r="E7" s="16" t="s">
        <v>100</v>
      </c>
      <c r="F7" s="16" t="s">
        <v>341</v>
      </c>
      <c r="G7" s="16" t="s">
        <v>342</v>
      </c>
      <c r="H7" s="16" t="s">
        <v>343</v>
      </c>
      <c r="I7" s="16" t="s">
        <v>306</v>
      </c>
      <c r="J7" s="16" t="s">
        <v>344</v>
      </c>
      <c r="K7" s="19" t="n">
        <v>0</v>
      </c>
      <c r="L7" s="20" t="s">
        <v>308</v>
      </c>
      <c r="M7" s="20"/>
      <c r="N7" s="20"/>
    </row>
  </sheetData>
  <autoFilter ref="A1:N7"/>
  <conditionalFormatting sqref="L2:L7">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7"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15" hidden="false" customHeight="false" outlineLevel="0" collapsed="false">
      <c r="A2" s="18" t="s">
        <v>345</v>
      </c>
      <c r="B2" s="16" t="s">
        <v>346</v>
      </c>
      <c r="C2" s="16" t="s">
        <v>347</v>
      </c>
      <c r="D2" s="16" t="s">
        <v>116</v>
      </c>
      <c r="E2" s="16" t="s">
        <v>117</v>
      </c>
      <c r="F2" s="16" t="s">
        <v>348</v>
      </c>
      <c r="G2" s="16" t="s">
        <v>349</v>
      </c>
      <c r="H2" s="16" t="s">
        <v>350</v>
      </c>
      <c r="I2" s="16" t="s">
        <v>306</v>
      </c>
      <c r="J2" s="16" t="s">
        <v>351</v>
      </c>
      <c r="K2" s="19" t="n">
        <v>0</v>
      </c>
      <c r="L2" s="20" t="s">
        <v>308</v>
      </c>
      <c r="M2" s="20"/>
      <c r="N2" s="20"/>
    </row>
    <row r="3" customFormat="false" ht="35.05" hidden="false" customHeight="false" outlineLevel="0" collapsed="false">
      <c r="A3" s="18" t="s">
        <v>352</v>
      </c>
      <c r="B3" s="16" t="s">
        <v>353</v>
      </c>
      <c r="C3" s="16" t="s">
        <v>354</v>
      </c>
      <c r="D3" s="16" t="s">
        <v>355</v>
      </c>
      <c r="E3" s="16" t="s">
        <v>356</v>
      </c>
      <c r="F3" s="16" t="s">
        <v>357</v>
      </c>
      <c r="G3" s="16" t="s">
        <v>358</v>
      </c>
      <c r="H3" s="16" t="s">
        <v>359</v>
      </c>
      <c r="I3" s="16" t="s">
        <v>306</v>
      </c>
      <c r="J3" s="16" t="s">
        <v>360</v>
      </c>
      <c r="K3" s="19" t="n">
        <v>0</v>
      </c>
      <c r="L3" s="20" t="s">
        <v>308</v>
      </c>
      <c r="M3" s="20"/>
      <c r="N3" s="20"/>
    </row>
    <row r="4" customFormat="false" ht="23.85" hidden="false" customHeight="false" outlineLevel="0" collapsed="false">
      <c r="A4" s="18" t="s">
        <v>361</v>
      </c>
      <c r="B4" s="16" t="s">
        <v>362</v>
      </c>
      <c r="C4" s="16" t="s">
        <v>363</v>
      </c>
      <c r="D4" s="16" t="s">
        <v>355</v>
      </c>
      <c r="E4" s="16" t="s">
        <v>356</v>
      </c>
      <c r="F4" s="16" t="s">
        <v>364</v>
      </c>
      <c r="G4" s="16" t="s">
        <v>365</v>
      </c>
      <c r="H4" s="16" t="s">
        <v>366</v>
      </c>
      <c r="I4" s="16" t="s">
        <v>306</v>
      </c>
      <c r="J4" s="16" t="s">
        <v>360</v>
      </c>
      <c r="K4" s="19" t="n">
        <v>0</v>
      </c>
      <c r="L4" s="20" t="s">
        <v>308</v>
      </c>
      <c r="M4" s="20"/>
      <c r="N4" s="20"/>
    </row>
    <row r="5" customFormat="false" ht="35.05" hidden="false" customHeight="false" outlineLevel="0" collapsed="false">
      <c r="A5" s="18" t="s">
        <v>367</v>
      </c>
      <c r="B5" s="16" t="s">
        <v>368</v>
      </c>
      <c r="C5" s="16" t="s">
        <v>369</v>
      </c>
      <c r="D5" s="16" t="s">
        <v>370</v>
      </c>
      <c r="E5" s="16" t="s">
        <v>371</v>
      </c>
      <c r="F5" s="16" t="s">
        <v>372</v>
      </c>
      <c r="G5" s="16" t="s">
        <v>373</v>
      </c>
      <c r="H5" s="16" t="s">
        <v>374</v>
      </c>
      <c r="I5" s="16" t="s">
        <v>306</v>
      </c>
      <c r="J5" s="16" t="s">
        <v>375</v>
      </c>
      <c r="K5" s="19" t="n">
        <v>0</v>
      </c>
      <c r="L5" s="20" t="s">
        <v>308</v>
      </c>
      <c r="M5" s="20"/>
      <c r="N5" s="20"/>
    </row>
    <row r="6" customFormat="false" ht="23.85" hidden="false" customHeight="false" outlineLevel="0" collapsed="false">
      <c r="A6" s="18" t="s">
        <v>376</v>
      </c>
      <c r="B6" s="16" t="s">
        <v>377</v>
      </c>
      <c r="C6" s="16" t="s">
        <v>378</v>
      </c>
      <c r="D6" s="16" t="s">
        <v>126</v>
      </c>
      <c r="E6" s="16" t="s">
        <v>127</v>
      </c>
      <c r="F6" s="16" t="s">
        <v>379</v>
      </c>
      <c r="G6" s="16" t="s">
        <v>380</v>
      </c>
      <c r="H6" s="16" t="s">
        <v>381</v>
      </c>
      <c r="I6" s="16" t="s">
        <v>306</v>
      </c>
      <c r="J6" s="16" t="s">
        <v>375</v>
      </c>
      <c r="K6" s="19" t="n">
        <v>0</v>
      </c>
      <c r="L6" s="20" t="s">
        <v>308</v>
      </c>
      <c r="M6" s="20"/>
      <c r="N6" s="20"/>
    </row>
    <row r="7" customFormat="false" ht="23.85" hidden="false" customHeight="false" outlineLevel="0" collapsed="false">
      <c r="A7" s="18" t="s">
        <v>382</v>
      </c>
      <c r="B7" s="16" t="s">
        <v>383</v>
      </c>
      <c r="C7" s="16" t="s">
        <v>384</v>
      </c>
      <c r="D7" s="16" t="s">
        <v>385</v>
      </c>
      <c r="E7" s="16" t="s">
        <v>386</v>
      </c>
      <c r="F7" s="16" t="s">
        <v>364</v>
      </c>
      <c r="G7" s="16" t="s">
        <v>387</v>
      </c>
      <c r="H7" s="16" t="s">
        <v>388</v>
      </c>
      <c r="I7" s="16" t="s">
        <v>306</v>
      </c>
      <c r="J7" s="16" t="s">
        <v>389</v>
      </c>
      <c r="K7" s="19" t="n">
        <v>0</v>
      </c>
      <c r="L7" s="20" t="s">
        <v>308</v>
      </c>
      <c r="M7" s="20"/>
      <c r="N7" s="20"/>
    </row>
    <row r="8" customFormat="false" ht="23.85" hidden="false" customHeight="false" outlineLevel="0" collapsed="false">
      <c r="A8" s="18" t="s">
        <v>390</v>
      </c>
      <c r="B8" s="16" t="s">
        <v>391</v>
      </c>
      <c r="C8" s="16" t="s">
        <v>392</v>
      </c>
      <c r="D8" s="16" t="s">
        <v>260</v>
      </c>
      <c r="E8" s="16" t="s">
        <v>261</v>
      </c>
      <c r="F8" s="16" t="s">
        <v>393</v>
      </c>
      <c r="G8" s="16" t="s">
        <v>394</v>
      </c>
      <c r="H8" s="16" t="s">
        <v>395</v>
      </c>
      <c r="I8" s="16" t="s">
        <v>306</v>
      </c>
      <c r="J8" s="16" t="s">
        <v>389</v>
      </c>
      <c r="K8" s="19" t="n">
        <v>0</v>
      </c>
      <c r="L8" s="20" t="s">
        <v>308</v>
      </c>
      <c r="M8" s="20"/>
      <c r="N8" s="20"/>
    </row>
    <row r="9" customFormat="false" ht="23.85" hidden="false" customHeight="false" outlineLevel="0" collapsed="false">
      <c r="A9" s="18" t="s">
        <v>396</v>
      </c>
      <c r="B9" s="16" t="s">
        <v>397</v>
      </c>
      <c r="C9" s="16" t="s">
        <v>398</v>
      </c>
      <c r="D9" s="16" t="s">
        <v>157</v>
      </c>
      <c r="E9" s="16" t="s">
        <v>158</v>
      </c>
      <c r="F9" s="16" t="s">
        <v>393</v>
      </c>
      <c r="G9" s="16" t="s">
        <v>399</v>
      </c>
      <c r="H9" s="16" t="s">
        <v>395</v>
      </c>
      <c r="I9" s="16" t="s">
        <v>306</v>
      </c>
      <c r="J9" s="16" t="s">
        <v>389</v>
      </c>
      <c r="K9" s="19" t="n">
        <v>0</v>
      </c>
      <c r="L9" s="20" t="s">
        <v>308</v>
      </c>
      <c r="M9" s="20"/>
      <c r="N9" s="20"/>
    </row>
    <row r="10" customFormat="false" ht="23.85" hidden="false" customHeight="false" outlineLevel="0" collapsed="false">
      <c r="A10" s="18" t="s">
        <v>400</v>
      </c>
      <c r="B10" s="16" t="s">
        <v>401</v>
      </c>
      <c r="C10" s="16" t="s">
        <v>402</v>
      </c>
      <c r="D10" s="16" t="s">
        <v>260</v>
      </c>
      <c r="E10" s="16" t="s">
        <v>261</v>
      </c>
      <c r="F10" s="16" t="s">
        <v>364</v>
      </c>
      <c r="G10" s="16" t="s">
        <v>403</v>
      </c>
      <c r="H10" s="16" t="s">
        <v>404</v>
      </c>
      <c r="I10" s="16" t="s">
        <v>306</v>
      </c>
      <c r="J10" s="16" t="s">
        <v>405</v>
      </c>
      <c r="K10" s="19" t="n">
        <v>0</v>
      </c>
      <c r="L10" s="20" t="s">
        <v>308</v>
      </c>
      <c r="M10" s="20"/>
      <c r="N10" s="20"/>
    </row>
    <row r="11" customFormat="false" ht="23.85" hidden="false" customHeight="false" outlineLevel="0" collapsed="false">
      <c r="A11" s="18" t="s">
        <v>406</v>
      </c>
      <c r="B11" s="16" t="s">
        <v>407</v>
      </c>
      <c r="C11" s="16" t="s">
        <v>408</v>
      </c>
      <c r="D11" s="16" t="s">
        <v>409</v>
      </c>
      <c r="E11" s="16" t="s">
        <v>410</v>
      </c>
      <c r="F11" s="16" t="s">
        <v>411</v>
      </c>
      <c r="G11" s="16" t="s">
        <v>412</v>
      </c>
      <c r="H11" s="16" t="s">
        <v>413</v>
      </c>
      <c r="I11" s="16" t="s">
        <v>322</v>
      </c>
      <c r="J11" s="16" t="s">
        <v>414</v>
      </c>
      <c r="K11" s="19" t="n">
        <v>0</v>
      </c>
      <c r="L11" s="20" t="s">
        <v>308</v>
      </c>
      <c r="M11" s="20"/>
      <c r="N11" s="20"/>
    </row>
    <row r="12" customFormat="false" ht="23.85" hidden="false" customHeight="false" outlineLevel="0" collapsed="false">
      <c r="A12" s="18" t="s">
        <v>415</v>
      </c>
      <c r="B12" s="16" t="s">
        <v>416</v>
      </c>
      <c r="C12" s="16" t="s">
        <v>417</v>
      </c>
      <c r="D12" s="16" t="s">
        <v>418</v>
      </c>
      <c r="E12" s="16" t="s">
        <v>419</v>
      </c>
      <c r="F12" s="16" t="s">
        <v>364</v>
      </c>
      <c r="G12" s="16" t="s">
        <v>420</v>
      </c>
      <c r="H12" s="16" t="s">
        <v>421</v>
      </c>
      <c r="I12" s="16" t="s">
        <v>306</v>
      </c>
      <c r="J12" s="16" t="s">
        <v>422</v>
      </c>
      <c r="K12" s="19" t="n">
        <v>0</v>
      </c>
      <c r="L12" s="20" t="s">
        <v>308</v>
      </c>
      <c r="M12" s="20"/>
      <c r="N12" s="20"/>
    </row>
    <row r="13" customFormat="false" ht="23.85" hidden="false" customHeight="false" outlineLevel="0" collapsed="false">
      <c r="A13" s="18" t="s">
        <v>423</v>
      </c>
      <c r="B13" s="16" t="s">
        <v>424</v>
      </c>
      <c r="C13" s="16" t="s">
        <v>425</v>
      </c>
      <c r="D13" s="16" t="s">
        <v>426</v>
      </c>
      <c r="E13" s="16" t="s">
        <v>427</v>
      </c>
      <c r="F13" s="16" t="s">
        <v>364</v>
      </c>
      <c r="G13" s="16" t="s">
        <v>428</v>
      </c>
      <c r="H13" s="16" t="s">
        <v>429</v>
      </c>
      <c r="I13" s="16" t="s">
        <v>306</v>
      </c>
      <c r="J13" s="16" t="s">
        <v>430</v>
      </c>
      <c r="K13" s="19" t="n">
        <v>0</v>
      </c>
      <c r="L13" s="20" t="s">
        <v>308</v>
      </c>
      <c r="M13" s="20"/>
      <c r="N13" s="20"/>
    </row>
    <row r="14" customFormat="false" ht="23.85" hidden="false" customHeight="false" outlineLevel="0" collapsed="false">
      <c r="A14" s="18" t="s">
        <v>431</v>
      </c>
      <c r="B14" s="16" t="s">
        <v>432</v>
      </c>
      <c r="C14" s="16" t="s">
        <v>433</v>
      </c>
      <c r="D14" s="16" t="s">
        <v>434</v>
      </c>
      <c r="E14" s="16" t="s">
        <v>435</v>
      </c>
      <c r="F14" s="16" t="s">
        <v>436</v>
      </c>
      <c r="G14" s="16" t="s">
        <v>437</v>
      </c>
      <c r="H14" s="16" t="s">
        <v>438</v>
      </c>
      <c r="I14" s="16" t="s">
        <v>306</v>
      </c>
      <c r="J14" s="16" t="s">
        <v>439</v>
      </c>
      <c r="K14" s="19" t="n">
        <v>0</v>
      </c>
      <c r="L14" s="20" t="s">
        <v>308</v>
      </c>
      <c r="M14" s="20"/>
      <c r="N14" s="20"/>
    </row>
    <row r="15" customFormat="false" ht="35.05" hidden="false" customHeight="false" outlineLevel="0" collapsed="false">
      <c r="A15" s="18" t="s">
        <v>440</v>
      </c>
      <c r="B15" s="16" t="s">
        <v>441</v>
      </c>
      <c r="C15" s="16" t="s">
        <v>442</v>
      </c>
      <c r="D15" s="16" t="s">
        <v>443</v>
      </c>
      <c r="E15" s="16" t="s">
        <v>444</v>
      </c>
      <c r="F15" s="16" t="s">
        <v>445</v>
      </c>
      <c r="G15" s="16" t="s">
        <v>446</v>
      </c>
      <c r="H15" s="16" t="s">
        <v>447</v>
      </c>
      <c r="I15" s="16" t="s">
        <v>306</v>
      </c>
      <c r="J15" s="16" t="s">
        <v>448</v>
      </c>
      <c r="K15" s="19" t="n">
        <v>0</v>
      </c>
      <c r="L15" s="20" t="s">
        <v>308</v>
      </c>
      <c r="M15" s="20"/>
      <c r="N15" s="20"/>
    </row>
    <row r="16" customFormat="false" ht="23.85" hidden="false" customHeight="false" outlineLevel="0" collapsed="false">
      <c r="A16" s="18" t="s">
        <v>449</v>
      </c>
      <c r="B16" s="16" t="s">
        <v>450</v>
      </c>
      <c r="C16" s="16" t="s">
        <v>451</v>
      </c>
      <c r="D16" s="16" t="s">
        <v>452</v>
      </c>
      <c r="E16" s="16" t="s">
        <v>453</v>
      </c>
      <c r="F16" s="16" t="s">
        <v>364</v>
      </c>
      <c r="G16" s="16" t="s">
        <v>454</v>
      </c>
      <c r="H16" s="16" t="s">
        <v>455</v>
      </c>
      <c r="I16" s="16" t="s">
        <v>306</v>
      </c>
      <c r="J16" s="16" t="s">
        <v>456</v>
      </c>
      <c r="K16" s="19" t="n">
        <v>0</v>
      </c>
      <c r="L16" s="20" t="s">
        <v>308</v>
      </c>
      <c r="M16" s="20"/>
      <c r="N16" s="20"/>
    </row>
    <row r="17" customFormat="false" ht="23.85" hidden="false" customHeight="false" outlineLevel="0" collapsed="false">
      <c r="A17" s="18" t="s">
        <v>457</v>
      </c>
      <c r="B17" s="16" t="s">
        <v>458</v>
      </c>
      <c r="C17" s="16" t="s">
        <v>459</v>
      </c>
      <c r="D17" s="16" t="s">
        <v>452</v>
      </c>
      <c r="E17" s="16" t="s">
        <v>453</v>
      </c>
      <c r="F17" s="16" t="s">
        <v>364</v>
      </c>
      <c r="G17" s="16" t="s">
        <v>460</v>
      </c>
      <c r="H17" s="16" t="s">
        <v>461</v>
      </c>
      <c r="I17" s="16" t="s">
        <v>306</v>
      </c>
      <c r="J17" s="16" t="s">
        <v>462</v>
      </c>
      <c r="K17" s="19" t="n">
        <v>0</v>
      </c>
      <c r="L17" s="20" t="s">
        <v>308</v>
      </c>
      <c r="M17" s="20"/>
      <c r="N17" s="20"/>
    </row>
    <row r="18" customFormat="false" ht="35.05" hidden="false" customHeight="false" outlineLevel="0" collapsed="false">
      <c r="A18" s="18" t="s">
        <v>463</v>
      </c>
      <c r="B18" s="16" t="s">
        <v>464</v>
      </c>
      <c r="C18" s="16" t="s">
        <v>465</v>
      </c>
      <c r="D18" s="16" t="s">
        <v>466</v>
      </c>
      <c r="E18" s="16" t="s">
        <v>467</v>
      </c>
      <c r="F18" s="16" t="s">
        <v>468</v>
      </c>
      <c r="G18" s="16" t="s">
        <v>469</v>
      </c>
      <c r="H18" s="16" t="s">
        <v>470</v>
      </c>
      <c r="I18" s="16" t="s">
        <v>306</v>
      </c>
      <c r="J18" s="16" t="s">
        <v>471</v>
      </c>
      <c r="K18" s="19" t="n">
        <v>0</v>
      </c>
      <c r="L18" s="20" t="s">
        <v>308</v>
      </c>
      <c r="M18" s="20"/>
      <c r="N18" s="20"/>
    </row>
    <row r="19" customFormat="false" ht="23.85" hidden="false" customHeight="false" outlineLevel="0" collapsed="false">
      <c r="A19" s="18" t="s">
        <v>472</v>
      </c>
      <c r="B19" s="16" t="s">
        <v>473</v>
      </c>
      <c r="C19" s="16" t="s">
        <v>474</v>
      </c>
      <c r="D19" s="16" t="s">
        <v>475</v>
      </c>
      <c r="E19" s="16" t="s">
        <v>476</v>
      </c>
      <c r="F19" s="16" t="s">
        <v>364</v>
      </c>
      <c r="G19" s="16" t="s">
        <v>477</v>
      </c>
      <c r="H19" s="16" t="s">
        <v>478</v>
      </c>
      <c r="I19" s="16" t="s">
        <v>306</v>
      </c>
      <c r="J19" s="16" t="s">
        <v>479</v>
      </c>
      <c r="K19" s="19" t="n">
        <v>0</v>
      </c>
      <c r="L19" s="20" t="s">
        <v>308</v>
      </c>
      <c r="M19" s="20"/>
      <c r="N19" s="20"/>
    </row>
    <row r="20" customFormat="false" ht="23.85" hidden="false" customHeight="false" outlineLevel="0" collapsed="false">
      <c r="A20" s="18" t="s">
        <v>480</v>
      </c>
      <c r="B20" s="16" t="s">
        <v>481</v>
      </c>
      <c r="C20" s="16" t="s">
        <v>482</v>
      </c>
      <c r="D20" s="16" t="s">
        <v>110</v>
      </c>
      <c r="E20" s="16" t="s">
        <v>111</v>
      </c>
      <c r="F20" s="16" t="s">
        <v>483</v>
      </c>
      <c r="G20" s="16" t="s">
        <v>484</v>
      </c>
      <c r="H20" s="16" t="s">
        <v>485</v>
      </c>
      <c r="I20" s="16" t="s">
        <v>306</v>
      </c>
      <c r="J20" s="16" t="s">
        <v>486</v>
      </c>
      <c r="K20" s="19" t="n">
        <v>0</v>
      </c>
      <c r="L20" s="20" t="s">
        <v>308</v>
      </c>
      <c r="M20" s="20"/>
      <c r="N20" s="20"/>
    </row>
    <row r="21" customFormat="false" ht="35.05" hidden="false" customHeight="false" outlineLevel="0" collapsed="false">
      <c r="A21" s="18" t="s">
        <v>487</v>
      </c>
      <c r="B21" s="16" t="s">
        <v>488</v>
      </c>
      <c r="C21" s="16" t="s">
        <v>489</v>
      </c>
      <c r="D21" s="16" t="s">
        <v>250</v>
      </c>
      <c r="E21" s="16" t="s">
        <v>251</v>
      </c>
      <c r="F21" s="16" t="s">
        <v>490</v>
      </c>
      <c r="G21" s="16" t="s">
        <v>491</v>
      </c>
      <c r="H21" s="16" t="s">
        <v>492</v>
      </c>
      <c r="I21" s="16" t="s">
        <v>306</v>
      </c>
      <c r="J21" s="16" t="s">
        <v>493</v>
      </c>
      <c r="K21" s="19" t="n">
        <v>0</v>
      </c>
      <c r="L21" s="20" t="s">
        <v>308</v>
      </c>
      <c r="M21" s="20"/>
      <c r="N21" s="20"/>
    </row>
    <row r="22" customFormat="false" ht="23.85" hidden="false" customHeight="false" outlineLevel="0" collapsed="false">
      <c r="A22" s="18" t="s">
        <v>494</v>
      </c>
      <c r="B22" s="16" t="s">
        <v>495</v>
      </c>
      <c r="C22" s="16" t="s">
        <v>496</v>
      </c>
      <c r="D22" s="16" t="s">
        <v>99</v>
      </c>
      <c r="E22" s="16" t="s">
        <v>100</v>
      </c>
      <c r="F22" s="16" t="s">
        <v>497</v>
      </c>
      <c r="G22" s="16" t="s">
        <v>498</v>
      </c>
      <c r="H22" s="16" t="s">
        <v>395</v>
      </c>
      <c r="I22" s="16" t="s">
        <v>306</v>
      </c>
      <c r="J22" s="16" t="s">
        <v>389</v>
      </c>
      <c r="K22" s="19" t="n">
        <v>0</v>
      </c>
      <c r="L22" s="20" t="s">
        <v>308</v>
      </c>
      <c r="M22" s="20"/>
      <c r="N22" s="20"/>
    </row>
  </sheetData>
  <autoFilter ref="A1:N22"/>
  <conditionalFormatting sqref="L2:L22">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22"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23.85" hidden="false" customHeight="false" outlineLevel="0" collapsed="false">
      <c r="A2" s="18" t="s">
        <v>499</v>
      </c>
      <c r="B2" s="16" t="s">
        <v>500</v>
      </c>
      <c r="C2" s="16" t="s">
        <v>501</v>
      </c>
      <c r="D2" s="16" t="s">
        <v>502</v>
      </c>
      <c r="E2" s="16" t="s">
        <v>503</v>
      </c>
      <c r="F2" s="16" t="s">
        <v>504</v>
      </c>
      <c r="G2" s="16" t="s">
        <v>505</v>
      </c>
      <c r="H2" s="16" t="s">
        <v>506</v>
      </c>
      <c r="I2" s="16" t="s">
        <v>507</v>
      </c>
      <c r="J2" s="16" t="s">
        <v>508</v>
      </c>
      <c r="K2" s="19" t="n">
        <v>0</v>
      </c>
      <c r="L2" s="20" t="s">
        <v>308</v>
      </c>
      <c r="M2" s="20"/>
      <c r="N2" s="20"/>
    </row>
    <row r="3" customFormat="false" ht="23.85" hidden="false" customHeight="false" outlineLevel="0" collapsed="false">
      <c r="A3" s="18" t="s">
        <v>509</v>
      </c>
      <c r="B3" s="16" t="s">
        <v>510</v>
      </c>
      <c r="C3" s="16" t="s">
        <v>511</v>
      </c>
      <c r="D3" s="16" t="s">
        <v>512</v>
      </c>
      <c r="E3" s="16" t="s">
        <v>513</v>
      </c>
      <c r="F3" s="16" t="s">
        <v>504</v>
      </c>
      <c r="G3" s="16" t="s">
        <v>514</v>
      </c>
      <c r="H3" s="16" t="s">
        <v>515</v>
      </c>
      <c r="I3" s="16" t="s">
        <v>507</v>
      </c>
      <c r="J3" s="16" t="s">
        <v>516</v>
      </c>
      <c r="K3" s="19" t="n">
        <v>0</v>
      </c>
      <c r="L3" s="20" t="s">
        <v>308</v>
      </c>
      <c r="M3" s="20"/>
      <c r="N3" s="20"/>
    </row>
    <row r="4" customFormat="false" ht="23.85" hidden="false" customHeight="false" outlineLevel="0" collapsed="false">
      <c r="A4" s="18" t="s">
        <v>517</v>
      </c>
      <c r="B4" s="16" t="s">
        <v>518</v>
      </c>
      <c r="C4" s="16" t="s">
        <v>519</v>
      </c>
      <c r="D4" s="16" t="s">
        <v>520</v>
      </c>
      <c r="E4" s="16" t="s">
        <v>521</v>
      </c>
      <c r="F4" s="16" t="s">
        <v>504</v>
      </c>
      <c r="G4" s="16" t="s">
        <v>522</v>
      </c>
      <c r="H4" s="16" t="s">
        <v>515</v>
      </c>
      <c r="I4" s="16" t="s">
        <v>507</v>
      </c>
      <c r="J4" s="16" t="s">
        <v>523</v>
      </c>
      <c r="K4" s="19" t="n">
        <v>0</v>
      </c>
      <c r="L4" s="20" t="s">
        <v>308</v>
      </c>
      <c r="M4" s="20"/>
      <c r="N4" s="20"/>
    </row>
    <row r="5" customFormat="false" ht="23.85" hidden="false" customHeight="false" outlineLevel="0" collapsed="false">
      <c r="A5" s="18" t="s">
        <v>524</v>
      </c>
      <c r="B5" s="16" t="s">
        <v>525</v>
      </c>
      <c r="C5" s="16" t="s">
        <v>526</v>
      </c>
      <c r="D5" s="16" t="s">
        <v>204</v>
      </c>
      <c r="E5" s="16" t="s">
        <v>205</v>
      </c>
      <c r="F5" s="16" t="s">
        <v>504</v>
      </c>
      <c r="G5" s="16" t="s">
        <v>527</v>
      </c>
      <c r="H5" s="16" t="s">
        <v>515</v>
      </c>
      <c r="I5" s="16" t="s">
        <v>507</v>
      </c>
      <c r="J5" s="16" t="s">
        <v>528</v>
      </c>
      <c r="K5" s="19" t="n">
        <v>0</v>
      </c>
      <c r="L5" s="20" t="s">
        <v>308</v>
      </c>
      <c r="M5" s="20"/>
      <c r="N5" s="20"/>
    </row>
    <row r="6" customFormat="false" ht="23.85" hidden="false" customHeight="false" outlineLevel="0" collapsed="false">
      <c r="A6" s="18" t="s">
        <v>529</v>
      </c>
      <c r="B6" s="16" t="s">
        <v>530</v>
      </c>
      <c r="C6" s="16" t="s">
        <v>531</v>
      </c>
      <c r="D6" s="16" t="s">
        <v>52</v>
      </c>
      <c r="E6" s="16" t="s">
        <v>53</v>
      </c>
      <c r="F6" s="16" t="s">
        <v>504</v>
      </c>
      <c r="G6" s="16" t="s">
        <v>532</v>
      </c>
      <c r="H6" s="16" t="s">
        <v>515</v>
      </c>
      <c r="I6" s="16" t="s">
        <v>507</v>
      </c>
      <c r="J6" s="16" t="s">
        <v>533</v>
      </c>
      <c r="K6" s="19" t="n">
        <v>0</v>
      </c>
      <c r="L6" s="20" t="s">
        <v>308</v>
      </c>
      <c r="M6" s="20"/>
      <c r="N6" s="20"/>
    </row>
    <row r="7" customFormat="false" ht="23.85" hidden="false" customHeight="false" outlineLevel="0" collapsed="false">
      <c r="A7" s="18" t="s">
        <v>534</v>
      </c>
      <c r="B7" s="16" t="s">
        <v>535</v>
      </c>
      <c r="C7" s="16" t="s">
        <v>536</v>
      </c>
      <c r="D7" s="16" t="s">
        <v>116</v>
      </c>
      <c r="E7" s="16" t="s">
        <v>117</v>
      </c>
      <c r="F7" s="16" t="s">
        <v>504</v>
      </c>
      <c r="G7" s="16" t="s">
        <v>537</v>
      </c>
      <c r="H7" s="16" t="s">
        <v>515</v>
      </c>
      <c r="I7" s="16" t="s">
        <v>507</v>
      </c>
      <c r="J7" s="16" t="s">
        <v>351</v>
      </c>
      <c r="K7" s="19" t="n">
        <v>0</v>
      </c>
      <c r="L7" s="20" t="s">
        <v>308</v>
      </c>
      <c r="M7" s="20"/>
      <c r="N7" s="20"/>
    </row>
    <row r="8" customFormat="false" ht="23.85" hidden="false" customHeight="false" outlineLevel="0" collapsed="false">
      <c r="A8" s="18" t="s">
        <v>538</v>
      </c>
      <c r="B8" s="16" t="s">
        <v>539</v>
      </c>
      <c r="C8" s="16" t="s">
        <v>540</v>
      </c>
      <c r="D8" s="16" t="s">
        <v>136</v>
      </c>
      <c r="E8" s="16" t="s">
        <v>137</v>
      </c>
      <c r="F8" s="16" t="s">
        <v>504</v>
      </c>
      <c r="G8" s="16" t="s">
        <v>541</v>
      </c>
      <c r="H8" s="16" t="s">
        <v>515</v>
      </c>
      <c r="I8" s="16" t="s">
        <v>507</v>
      </c>
      <c r="J8" s="16" t="s">
        <v>542</v>
      </c>
      <c r="K8" s="19" t="n">
        <v>0</v>
      </c>
      <c r="L8" s="20" t="s">
        <v>308</v>
      </c>
      <c r="M8" s="20"/>
      <c r="N8" s="20"/>
    </row>
    <row r="9" customFormat="false" ht="23.85" hidden="false" customHeight="false" outlineLevel="0" collapsed="false">
      <c r="A9" s="18" t="s">
        <v>543</v>
      </c>
      <c r="B9" s="16" t="s">
        <v>544</v>
      </c>
      <c r="C9" s="16" t="s">
        <v>545</v>
      </c>
      <c r="D9" s="16" t="s">
        <v>546</v>
      </c>
      <c r="E9" s="16" t="s">
        <v>547</v>
      </c>
      <c r="F9" s="16" t="s">
        <v>504</v>
      </c>
      <c r="G9" s="16" t="s">
        <v>548</v>
      </c>
      <c r="H9" s="16" t="s">
        <v>515</v>
      </c>
      <c r="I9" s="16" t="s">
        <v>507</v>
      </c>
      <c r="J9" s="16" t="s">
        <v>375</v>
      </c>
      <c r="K9" s="19" t="n">
        <v>0</v>
      </c>
      <c r="L9" s="20" t="s">
        <v>308</v>
      </c>
      <c r="M9" s="20"/>
      <c r="N9" s="20"/>
    </row>
    <row r="10" customFormat="false" ht="23.85" hidden="false" customHeight="false" outlineLevel="0" collapsed="false">
      <c r="A10" s="18" t="s">
        <v>549</v>
      </c>
      <c r="B10" s="16" t="s">
        <v>550</v>
      </c>
      <c r="C10" s="16" t="s">
        <v>551</v>
      </c>
      <c r="D10" s="16" t="s">
        <v>52</v>
      </c>
      <c r="E10" s="16" t="s">
        <v>53</v>
      </c>
      <c r="F10" s="16" t="s">
        <v>504</v>
      </c>
      <c r="G10" s="16" t="s">
        <v>552</v>
      </c>
      <c r="H10" s="16" t="s">
        <v>515</v>
      </c>
      <c r="I10" s="16" t="s">
        <v>507</v>
      </c>
      <c r="J10" s="16" t="s">
        <v>553</v>
      </c>
      <c r="K10" s="19" t="n">
        <v>0</v>
      </c>
      <c r="L10" s="20" t="s">
        <v>308</v>
      </c>
      <c r="M10" s="20"/>
      <c r="N10" s="20"/>
    </row>
    <row r="11" customFormat="false" ht="35.05" hidden="false" customHeight="false" outlineLevel="0" collapsed="false">
      <c r="A11" s="18" t="s">
        <v>554</v>
      </c>
      <c r="B11" s="16" t="s">
        <v>555</v>
      </c>
      <c r="C11" s="16" t="s">
        <v>556</v>
      </c>
      <c r="D11" s="16" t="s">
        <v>557</v>
      </c>
      <c r="E11" s="16" t="s">
        <v>558</v>
      </c>
      <c r="F11" s="16" t="s">
        <v>504</v>
      </c>
      <c r="G11" s="16" t="s">
        <v>559</v>
      </c>
      <c r="H11" s="16" t="s">
        <v>515</v>
      </c>
      <c r="I11" s="16" t="s">
        <v>507</v>
      </c>
      <c r="J11" s="16" t="s">
        <v>560</v>
      </c>
      <c r="K11" s="19" t="n">
        <v>0</v>
      </c>
      <c r="L11" s="20" t="s">
        <v>308</v>
      </c>
      <c r="M11" s="20"/>
      <c r="N11" s="20"/>
    </row>
    <row r="12" customFormat="false" ht="23.85" hidden="false" customHeight="false" outlineLevel="0" collapsed="false">
      <c r="A12" s="18" t="s">
        <v>561</v>
      </c>
      <c r="B12" s="16" t="s">
        <v>562</v>
      </c>
      <c r="C12" s="16" t="s">
        <v>563</v>
      </c>
      <c r="D12" s="16" t="s">
        <v>214</v>
      </c>
      <c r="E12" s="16" t="s">
        <v>215</v>
      </c>
      <c r="F12" s="16" t="s">
        <v>504</v>
      </c>
      <c r="G12" s="16" t="s">
        <v>564</v>
      </c>
      <c r="H12" s="16" t="s">
        <v>565</v>
      </c>
      <c r="I12" s="16" t="s">
        <v>507</v>
      </c>
      <c r="J12" s="16" t="s">
        <v>423</v>
      </c>
      <c r="K12" s="19" t="n">
        <v>0</v>
      </c>
      <c r="L12" s="20" t="s">
        <v>308</v>
      </c>
      <c r="M12" s="20"/>
      <c r="N12" s="20"/>
    </row>
    <row r="13" customFormat="false" ht="23.85" hidden="false" customHeight="false" outlineLevel="0" collapsed="false">
      <c r="A13" s="18" t="s">
        <v>566</v>
      </c>
      <c r="B13" s="16" t="s">
        <v>567</v>
      </c>
      <c r="C13" s="16" t="s">
        <v>568</v>
      </c>
      <c r="D13" s="16" t="s">
        <v>569</v>
      </c>
      <c r="E13" s="16" t="s">
        <v>570</v>
      </c>
      <c r="F13" s="16" t="s">
        <v>504</v>
      </c>
      <c r="G13" s="16" t="s">
        <v>571</v>
      </c>
      <c r="H13" s="16" t="s">
        <v>515</v>
      </c>
      <c r="I13" s="16" t="s">
        <v>507</v>
      </c>
      <c r="J13" s="16" t="s">
        <v>572</v>
      </c>
      <c r="K13" s="19" t="n">
        <v>0</v>
      </c>
      <c r="L13" s="20" t="s">
        <v>308</v>
      </c>
      <c r="M13" s="20"/>
      <c r="N13" s="20"/>
    </row>
    <row r="14" customFormat="false" ht="23.85" hidden="false" customHeight="false" outlineLevel="0" collapsed="false">
      <c r="A14" s="18" t="s">
        <v>573</v>
      </c>
      <c r="B14" s="16" t="s">
        <v>574</v>
      </c>
      <c r="C14" s="16" t="s">
        <v>575</v>
      </c>
      <c r="D14" s="16" t="s">
        <v>276</v>
      </c>
      <c r="E14" s="16" t="s">
        <v>277</v>
      </c>
      <c r="F14" s="16" t="s">
        <v>504</v>
      </c>
      <c r="G14" s="16" t="s">
        <v>576</v>
      </c>
      <c r="H14" s="16" t="s">
        <v>515</v>
      </c>
      <c r="I14" s="16" t="s">
        <v>507</v>
      </c>
      <c r="J14" s="16" t="s">
        <v>509</v>
      </c>
      <c r="K14" s="19" t="n">
        <v>0</v>
      </c>
      <c r="L14" s="20" t="s">
        <v>308</v>
      </c>
      <c r="M14" s="20"/>
      <c r="N14" s="20"/>
    </row>
    <row r="15" customFormat="false" ht="23.85" hidden="false" customHeight="false" outlineLevel="0" collapsed="false">
      <c r="A15" s="18" t="s">
        <v>577</v>
      </c>
      <c r="B15" s="16" t="s">
        <v>578</v>
      </c>
      <c r="C15" s="16" t="s">
        <v>579</v>
      </c>
      <c r="D15" s="16" t="s">
        <v>250</v>
      </c>
      <c r="E15" s="16" t="s">
        <v>251</v>
      </c>
      <c r="F15" s="16" t="s">
        <v>504</v>
      </c>
      <c r="G15" s="16" t="s">
        <v>580</v>
      </c>
      <c r="H15" s="16" t="s">
        <v>515</v>
      </c>
      <c r="I15" s="16" t="s">
        <v>507</v>
      </c>
      <c r="J15" s="16" t="s">
        <v>581</v>
      </c>
      <c r="K15" s="19" t="n">
        <v>0</v>
      </c>
      <c r="L15" s="20" t="s">
        <v>308</v>
      </c>
      <c r="M15" s="20"/>
      <c r="N15" s="20"/>
    </row>
    <row r="16" customFormat="false" ht="23.85" hidden="false" customHeight="false" outlineLevel="0" collapsed="false">
      <c r="A16" s="18" t="s">
        <v>582</v>
      </c>
      <c r="B16" s="16" t="s">
        <v>583</v>
      </c>
      <c r="C16" s="16" t="s">
        <v>584</v>
      </c>
      <c r="D16" s="16" t="s">
        <v>214</v>
      </c>
      <c r="E16" s="16" t="s">
        <v>215</v>
      </c>
      <c r="F16" s="16" t="s">
        <v>585</v>
      </c>
      <c r="G16" s="16" t="s">
        <v>586</v>
      </c>
      <c r="H16" s="16" t="s">
        <v>587</v>
      </c>
      <c r="I16" s="16" t="s">
        <v>507</v>
      </c>
      <c r="J16" s="16" t="s">
        <v>588</v>
      </c>
      <c r="K16" s="19" t="n">
        <v>0</v>
      </c>
      <c r="L16" s="20" t="s">
        <v>308</v>
      </c>
      <c r="M16" s="20"/>
      <c r="N16" s="20"/>
    </row>
    <row r="17" customFormat="false" ht="23.85" hidden="false" customHeight="false" outlineLevel="0" collapsed="false">
      <c r="A17" s="18" t="s">
        <v>589</v>
      </c>
      <c r="B17" s="16" t="s">
        <v>590</v>
      </c>
      <c r="C17" s="16" t="s">
        <v>591</v>
      </c>
      <c r="D17" s="16" t="s">
        <v>214</v>
      </c>
      <c r="E17" s="16" t="s">
        <v>215</v>
      </c>
      <c r="F17" s="16" t="s">
        <v>585</v>
      </c>
      <c r="G17" s="16" t="s">
        <v>592</v>
      </c>
      <c r="H17" s="16" t="s">
        <v>593</v>
      </c>
      <c r="I17" s="16" t="s">
        <v>507</v>
      </c>
      <c r="J17" s="16" t="s">
        <v>588</v>
      </c>
      <c r="K17" s="19" t="n">
        <v>0</v>
      </c>
      <c r="L17" s="20" t="s">
        <v>308</v>
      </c>
      <c r="M17" s="20"/>
      <c r="N17" s="20"/>
    </row>
  </sheetData>
  <autoFilter ref="A1:N17"/>
  <conditionalFormatting sqref="L2:L17">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17"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46.25" hidden="false" customHeight="false" outlineLevel="0" collapsed="false">
      <c r="A2" s="18" t="s">
        <v>572</v>
      </c>
      <c r="B2" s="16" t="s">
        <v>594</v>
      </c>
      <c r="C2" s="16" t="s">
        <v>595</v>
      </c>
      <c r="D2" s="16" t="s">
        <v>63</v>
      </c>
      <c r="E2" s="16" t="s">
        <v>64</v>
      </c>
      <c r="F2" s="16" t="s">
        <v>596</v>
      </c>
      <c r="G2" s="16" t="s">
        <v>597</v>
      </c>
      <c r="H2" s="16" t="s">
        <v>598</v>
      </c>
      <c r="I2" s="16" t="s">
        <v>507</v>
      </c>
      <c r="J2" s="16" t="s">
        <v>599</v>
      </c>
      <c r="K2" s="19" t="n">
        <v>0</v>
      </c>
      <c r="L2" s="20" t="s">
        <v>308</v>
      </c>
      <c r="M2" s="20"/>
      <c r="N2" s="20"/>
    </row>
    <row r="3" customFormat="false" ht="35.05" hidden="false" customHeight="false" outlineLevel="0" collapsed="false">
      <c r="A3" s="18" t="s">
        <v>600</v>
      </c>
      <c r="B3" s="16" t="s">
        <v>601</v>
      </c>
      <c r="C3" s="16" t="s">
        <v>602</v>
      </c>
      <c r="D3" s="16" t="s">
        <v>68</v>
      </c>
      <c r="E3" s="16" t="s">
        <v>69</v>
      </c>
      <c r="F3" s="16" t="s">
        <v>596</v>
      </c>
      <c r="G3" s="16" t="s">
        <v>603</v>
      </c>
      <c r="H3" s="16" t="s">
        <v>604</v>
      </c>
      <c r="I3" s="16" t="s">
        <v>507</v>
      </c>
      <c r="J3" s="16" t="s">
        <v>605</v>
      </c>
      <c r="K3" s="19" t="n">
        <v>0</v>
      </c>
      <c r="L3" s="20" t="s">
        <v>308</v>
      </c>
      <c r="M3" s="20"/>
      <c r="N3" s="20"/>
    </row>
    <row r="4" customFormat="false" ht="35.05" hidden="false" customHeight="false" outlineLevel="0" collapsed="false">
      <c r="A4" s="18" t="s">
        <v>351</v>
      </c>
      <c r="B4" s="16" t="s">
        <v>606</v>
      </c>
      <c r="C4" s="16" t="s">
        <v>607</v>
      </c>
      <c r="D4" s="16" t="s">
        <v>116</v>
      </c>
      <c r="E4" s="16" t="s">
        <v>117</v>
      </c>
      <c r="F4" s="16" t="s">
        <v>596</v>
      </c>
      <c r="G4" s="16" t="s">
        <v>608</v>
      </c>
      <c r="H4" s="16" t="s">
        <v>609</v>
      </c>
      <c r="I4" s="16" t="s">
        <v>507</v>
      </c>
      <c r="J4" s="16" t="s">
        <v>610</v>
      </c>
      <c r="K4" s="19" t="n">
        <v>0</v>
      </c>
      <c r="L4" s="20" t="s">
        <v>308</v>
      </c>
      <c r="M4" s="20"/>
      <c r="N4" s="20"/>
    </row>
    <row r="5" customFormat="false" ht="46.25" hidden="false" customHeight="false" outlineLevel="0" collapsed="false">
      <c r="A5" s="18" t="s">
        <v>542</v>
      </c>
      <c r="B5" s="16" t="s">
        <v>611</v>
      </c>
      <c r="C5" s="16" t="s">
        <v>612</v>
      </c>
      <c r="D5" s="16" t="s">
        <v>613</v>
      </c>
      <c r="E5" s="16" t="s">
        <v>614</v>
      </c>
      <c r="F5" s="16" t="s">
        <v>596</v>
      </c>
      <c r="G5" s="16" t="s">
        <v>615</v>
      </c>
      <c r="H5" s="16" t="s">
        <v>616</v>
      </c>
      <c r="I5" s="16" t="s">
        <v>507</v>
      </c>
      <c r="J5" s="16" t="s">
        <v>538</v>
      </c>
      <c r="K5" s="19" t="n">
        <v>0</v>
      </c>
      <c r="L5" s="20" t="s">
        <v>308</v>
      </c>
      <c r="M5" s="20"/>
      <c r="N5" s="20"/>
    </row>
    <row r="6" customFormat="false" ht="35.05" hidden="false" customHeight="false" outlineLevel="0" collapsed="false">
      <c r="A6" s="18" t="s">
        <v>375</v>
      </c>
      <c r="B6" s="16" t="s">
        <v>617</v>
      </c>
      <c r="C6" s="16" t="s">
        <v>618</v>
      </c>
      <c r="D6" s="16" t="s">
        <v>619</v>
      </c>
      <c r="E6" s="16" t="s">
        <v>620</v>
      </c>
      <c r="F6" s="16" t="s">
        <v>596</v>
      </c>
      <c r="G6" s="16" t="s">
        <v>621</v>
      </c>
      <c r="H6" s="16" t="s">
        <v>616</v>
      </c>
      <c r="I6" s="16" t="s">
        <v>507</v>
      </c>
      <c r="J6" s="16" t="s">
        <v>622</v>
      </c>
      <c r="K6" s="19" t="n">
        <v>0</v>
      </c>
      <c r="L6" s="20" t="s">
        <v>308</v>
      </c>
      <c r="M6" s="20"/>
      <c r="N6" s="20"/>
    </row>
    <row r="7" customFormat="false" ht="35.05" hidden="false" customHeight="false" outlineLevel="0" collapsed="false">
      <c r="A7" s="18" t="s">
        <v>623</v>
      </c>
      <c r="B7" s="16" t="s">
        <v>624</v>
      </c>
      <c r="C7" s="16" t="s">
        <v>625</v>
      </c>
      <c r="D7" s="16" t="s">
        <v>99</v>
      </c>
      <c r="E7" s="16" t="s">
        <v>100</v>
      </c>
      <c r="F7" s="16" t="s">
        <v>596</v>
      </c>
      <c r="G7" s="16" t="s">
        <v>626</v>
      </c>
      <c r="H7" s="16" t="s">
        <v>616</v>
      </c>
      <c r="I7" s="16" t="s">
        <v>507</v>
      </c>
      <c r="J7" s="16" t="s">
        <v>627</v>
      </c>
      <c r="K7" s="19" t="n">
        <v>0</v>
      </c>
      <c r="L7" s="20" t="s">
        <v>308</v>
      </c>
      <c r="M7" s="20"/>
      <c r="N7" s="20"/>
    </row>
    <row r="8" customFormat="false" ht="35.05" hidden="false" customHeight="false" outlineLevel="0" collapsed="false">
      <c r="A8" s="18" t="s">
        <v>628</v>
      </c>
      <c r="B8" s="16" t="s">
        <v>629</v>
      </c>
      <c r="C8" s="16" t="s">
        <v>630</v>
      </c>
      <c r="D8" s="16" t="s">
        <v>209</v>
      </c>
      <c r="E8" s="16" t="s">
        <v>210</v>
      </c>
      <c r="F8" s="16" t="s">
        <v>596</v>
      </c>
      <c r="G8" s="16" t="s">
        <v>631</v>
      </c>
      <c r="H8" s="16" t="s">
        <v>616</v>
      </c>
      <c r="I8" s="16" t="s">
        <v>507</v>
      </c>
      <c r="J8" s="16" t="s">
        <v>632</v>
      </c>
      <c r="K8" s="19" t="n">
        <v>0</v>
      </c>
      <c r="L8" s="20" t="s">
        <v>308</v>
      </c>
      <c r="M8" s="20"/>
      <c r="N8" s="20"/>
    </row>
    <row r="9" customFormat="false" ht="35.05" hidden="false" customHeight="false" outlineLevel="0" collapsed="false">
      <c r="A9" s="18" t="s">
        <v>633</v>
      </c>
      <c r="B9" s="16" t="s">
        <v>634</v>
      </c>
      <c r="C9" s="16" t="s">
        <v>635</v>
      </c>
      <c r="D9" s="16" t="s">
        <v>245</v>
      </c>
      <c r="E9" s="16" t="s">
        <v>246</v>
      </c>
      <c r="F9" s="16" t="s">
        <v>596</v>
      </c>
      <c r="G9" s="16" t="s">
        <v>636</v>
      </c>
      <c r="H9" s="16" t="s">
        <v>637</v>
      </c>
      <c r="I9" s="16" t="s">
        <v>507</v>
      </c>
      <c r="J9" s="16" t="s">
        <v>638</v>
      </c>
      <c r="K9" s="19" t="n">
        <v>0</v>
      </c>
      <c r="L9" s="20" t="s">
        <v>308</v>
      </c>
      <c r="M9" s="20"/>
      <c r="N9" s="20"/>
    </row>
    <row r="10" customFormat="false" ht="35.05" hidden="false" customHeight="false" outlineLevel="0" collapsed="false">
      <c r="A10" s="18" t="s">
        <v>639</v>
      </c>
      <c r="B10" s="16" t="s">
        <v>640</v>
      </c>
      <c r="C10" s="16" t="s">
        <v>641</v>
      </c>
      <c r="D10" s="16" t="s">
        <v>276</v>
      </c>
      <c r="E10" s="16" t="s">
        <v>277</v>
      </c>
      <c r="F10" s="16" t="s">
        <v>596</v>
      </c>
      <c r="G10" s="16" t="s">
        <v>642</v>
      </c>
      <c r="H10" s="16" t="s">
        <v>616</v>
      </c>
      <c r="I10" s="16" t="s">
        <v>507</v>
      </c>
      <c r="J10" s="16" t="s">
        <v>643</v>
      </c>
      <c r="K10" s="19" t="n">
        <v>0</v>
      </c>
      <c r="L10" s="20" t="s">
        <v>308</v>
      </c>
      <c r="M10" s="20"/>
      <c r="N10" s="20"/>
    </row>
    <row r="11" customFormat="false" ht="35.05" hidden="false" customHeight="false" outlineLevel="0" collapsed="false">
      <c r="A11" s="18" t="s">
        <v>644</v>
      </c>
      <c r="B11" s="16" t="s">
        <v>645</v>
      </c>
      <c r="C11" s="16" t="s">
        <v>646</v>
      </c>
      <c r="D11" s="16" t="s">
        <v>209</v>
      </c>
      <c r="E11" s="16" t="s">
        <v>210</v>
      </c>
      <c r="F11" s="16" t="s">
        <v>596</v>
      </c>
      <c r="G11" s="16" t="s">
        <v>647</v>
      </c>
      <c r="H11" s="16" t="s">
        <v>616</v>
      </c>
      <c r="I11" s="16" t="s">
        <v>507</v>
      </c>
      <c r="J11" s="16" t="s">
        <v>632</v>
      </c>
      <c r="K11" s="19" t="n">
        <v>0</v>
      </c>
      <c r="L11" s="20" t="s">
        <v>308</v>
      </c>
      <c r="M11" s="20"/>
      <c r="N11" s="20"/>
    </row>
  </sheetData>
  <autoFilter ref="A1:N11"/>
  <conditionalFormatting sqref="L2:L11">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11"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46.25" hidden="false" customHeight="false" outlineLevel="0" collapsed="false">
      <c r="A2" s="18" t="s">
        <v>648</v>
      </c>
      <c r="B2" s="16" t="s">
        <v>649</v>
      </c>
      <c r="C2" s="16" t="s">
        <v>650</v>
      </c>
      <c r="D2" s="16" t="s">
        <v>651</v>
      </c>
      <c r="E2" s="16" t="s">
        <v>652</v>
      </c>
      <c r="F2" s="16" t="s">
        <v>653</v>
      </c>
      <c r="G2" s="16" t="s">
        <v>654</v>
      </c>
      <c r="H2" s="16" t="s">
        <v>655</v>
      </c>
      <c r="I2" s="16" t="s">
        <v>306</v>
      </c>
      <c r="J2" s="16" t="s">
        <v>412</v>
      </c>
      <c r="K2" s="19" t="n">
        <v>0</v>
      </c>
      <c r="L2" s="20" t="s">
        <v>308</v>
      </c>
      <c r="M2" s="20"/>
      <c r="N2" s="20"/>
    </row>
    <row r="3" customFormat="false" ht="35.05" hidden="false" customHeight="false" outlineLevel="0" collapsed="false">
      <c r="A3" s="18" t="s">
        <v>656</v>
      </c>
      <c r="B3" s="16" t="s">
        <v>657</v>
      </c>
      <c r="C3" s="16" t="s">
        <v>658</v>
      </c>
      <c r="D3" s="16" t="s">
        <v>659</v>
      </c>
      <c r="E3" s="16" t="s">
        <v>660</v>
      </c>
      <c r="F3" s="16" t="s">
        <v>653</v>
      </c>
      <c r="G3" s="16" t="s">
        <v>661</v>
      </c>
      <c r="H3" s="16" t="s">
        <v>662</v>
      </c>
      <c r="I3" s="16" t="s">
        <v>306</v>
      </c>
      <c r="J3" s="16" t="s">
        <v>412</v>
      </c>
      <c r="K3" s="19" t="n">
        <v>0</v>
      </c>
      <c r="L3" s="20" t="s">
        <v>308</v>
      </c>
      <c r="M3" s="20"/>
      <c r="N3" s="20"/>
    </row>
    <row r="4" customFormat="false" ht="35.05" hidden="false" customHeight="false" outlineLevel="0" collapsed="false">
      <c r="A4" s="18" t="s">
        <v>663</v>
      </c>
      <c r="B4" s="16" t="s">
        <v>664</v>
      </c>
      <c r="C4" s="16" t="s">
        <v>665</v>
      </c>
      <c r="D4" s="16" t="s">
        <v>173</v>
      </c>
      <c r="E4" s="16" t="s">
        <v>174</v>
      </c>
      <c r="F4" s="16" t="s">
        <v>653</v>
      </c>
      <c r="G4" s="16" t="s">
        <v>666</v>
      </c>
      <c r="H4" s="16" t="s">
        <v>662</v>
      </c>
      <c r="I4" s="16" t="s">
        <v>306</v>
      </c>
      <c r="J4" s="16" t="s">
        <v>412</v>
      </c>
      <c r="K4" s="19" t="n">
        <v>0</v>
      </c>
      <c r="L4" s="20" t="s">
        <v>308</v>
      </c>
      <c r="M4" s="20"/>
      <c r="N4" s="20"/>
    </row>
    <row r="5" customFormat="false" ht="35.05" hidden="false" customHeight="false" outlineLevel="0" collapsed="false">
      <c r="A5" s="18" t="s">
        <v>667</v>
      </c>
      <c r="B5" s="16" t="s">
        <v>668</v>
      </c>
      <c r="C5" s="16" t="s">
        <v>669</v>
      </c>
      <c r="D5" s="16" t="s">
        <v>173</v>
      </c>
      <c r="E5" s="16" t="s">
        <v>174</v>
      </c>
      <c r="F5" s="16" t="s">
        <v>653</v>
      </c>
      <c r="G5" s="16" t="s">
        <v>670</v>
      </c>
      <c r="H5" s="16" t="s">
        <v>662</v>
      </c>
      <c r="I5" s="16" t="s">
        <v>306</v>
      </c>
      <c r="J5" s="16" t="s">
        <v>412</v>
      </c>
      <c r="K5" s="19" t="n">
        <v>0</v>
      </c>
      <c r="L5" s="20" t="s">
        <v>308</v>
      </c>
      <c r="M5" s="20"/>
      <c r="N5" s="20"/>
    </row>
    <row r="6" customFormat="false" ht="35.05" hidden="false" customHeight="false" outlineLevel="0" collapsed="false">
      <c r="A6" s="18" t="s">
        <v>671</v>
      </c>
      <c r="B6" s="16" t="s">
        <v>672</v>
      </c>
      <c r="C6" s="16" t="s">
        <v>673</v>
      </c>
      <c r="D6" s="16" t="s">
        <v>173</v>
      </c>
      <c r="E6" s="16" t="s">
        <v>174</v>
      </c>
      <c r="F6" s="16" t="s">
        <v>653</v>
      </c>
      <c r="G6" s="16" t="s">
        <v>674</v>
      </c>
      <c r="H6" s="16" t="s">
        <v>662</v>
      </c>
      <c r="I6" s="16" t="s">
        <v>306</v>
      </c>
      <c r="J6" s="16" t="s">
        <v>412</v>
      </c>
      <c r="K6" s="19" t="n">
        <v>0</v>
      </c>
      <c r="L6" s="20" t="s">
        <v>308</v>
      </c>
      <c r="M6" s="20"/>
      <c r="N6" s="20"/>
    </row>
    <row r="7" customFormat="false" ht="35.05" hidden="false" customHeight="false" outlineLevel="0" collapsed="false">
      <c r="A7" s="18" t="s">
        <v>675</v>
      </c>
      <c r="B7" s="16" t="s">
        <v>676</v>
      </c>
      <c r="C7" s="16" t="s">
        <v>677</v>
      </c>
      <c r="D7" s="16" t="s">
        <v>147</v>
      </c>
      <c r="E7" s="16" t="s">
        <v>148</v>
      </c>
      <c r="F7" s="16" t="s">
        <v>653</v>
      </c>
      <c r="G7" s="16" t="s">
        <v>678</v>
      </c>
      <c r="H7" s="16" t="s">
        <v>662</v>
      </c>
      <c r="I7" s="16" t="s">
        <v>306</v>
      </c>
      <c r="J7" s="16" t="s">
        <v>412</v>
      </c>
      <c r="K7" s="19" t="n">
        <v>0</v>
      </c>
      <c r="L7" s="20" t="s">
        <v>308</v>
      </c>
      <c r="M7" s="20"/>
      <c r="N7" s="20"/>
    </row>
    <row r="8" customFormat="false" ht="35.05" hidden="false" customHeight="false" outlineLevel="0" collapsed="false">
      <c r="A8" s="18" t="s">
        <v>679</v>
      </c>
      <c r="B8" s="16" t="s">
        <v>680</v>
      </c>
      <c r="C8" s="16" t="s">
        <v>681</v>
      </c>
      <c r="D8" s="16" t="s">
        <v>152</v>
      </c>
      <c r="E8" s="16" t="s">
        <v>153</v>
      </c>
      <c r="F8" s="16" t="s">
        <v>653</v>
      </c>
      <c r="G8" s="16" t="s">
        <v>682</v>
      </c>
      <c r="H8" s="16" t="s">
        <v>662</v>
      </c>
      <c r="I8" s="16" t="s">
        <v>306</v>
      </c>
      <c r="J8" s="16" t="s">
        <v>412</v>
      </c>
      <c r="K8" s="19" t="n">
        <v>0</v>
      </c>
      <c r="L8" s="20" t="s">
        <v>308</v>
      </c>
      <c r="M8" s="20"/>
      <c r="N8" s="20"/>
    </row>
    <row r="9" customFormat="false" ht="46.25" hidden="false" customHeight="false" outlineLevel="0" collapsed="false">
      <c r="A9" s="18" t="s">
        <v>683</v>
      </c>
      <c r="B9" s="16" t="s">
        <v>684</v>
      </c>
      <c r="C9" s="16" t="s">
        <v>685</v>
      </c>
      <c r="D9" s="16" t="s">
        <v>157</v>
      </c>
      <c r="E9" s="16" t="s">
        <v>158</v>
      </c>
      <c r="F9" s="16" t="s">
        <v>686</v>
      </c>
      <c r="G9" s="16" t="s">
        <v>687</v>
      </c>
      <c r="H9" s="16" t="s">
        <v>662</v>
      </c>
      <c r="I9" s="16" t="s">
        <v>306</v>
      </c>
      <c r="J9" s="16" t="s">
        <v>412</v>
      </c>
      <c r="K9" s="19" t="n">
        <v>0</v>
      </c>
      <c r="L9" s="20" t="s">
        <v>308</v>
      </c>
      <c r="M9" s="20"/>
      <c r="N9" s="20"/>
    </row>
    <row r="10" customFormat="false" ht="35.05" hidden="false" customHeight="false" outlineLevel="0" collapsed="false">
      <c r="A10" s="18" t="s">
        <v>688</v>
      </c>
      <c r="B10" s="16" t="s">
        <v>689</v>
      </c>
      <c r="C10" s="16" t="s">
        <v>690</v>
      </c>
      <c r="D10" s="16" t="s">
        <v>157</v>
      </c>
      <c r="E10" s="16" t="s">
        <v>158</v>
      </c>
      <c r="F10" s="16" t="s">
        <v>653</v>
      </c>
      <c r="G10" s="16" t="s">
        <v>691</v>
      </c>
      <c r="H10" s="16" t="s">
        <v>662</v>
      </c>
      <c r="I10" s="16" t="s">
        <v>306</v>
      </c>
      <c r="J10" s="16" t="s">
        <v>412</v>
      </c>
      <c r="K10" s="19" t="n">
        <v>0</v>
      </c>
      <c r="L10" s="20" t="s">
        <v>308</v>
      </c>
      <c r="M10" s="20"/>
      <c r="N10" s="20"/>
    </row>
    <row r="11" customFormat="false" ht="35.05" hidden="false" customHeight="false" outlineLevel="0" collapsed="false">
      <c r="A11" s="18" t="s">
        <v>692</v>
      </c>
      <c r="B11" s="16" t="s">
        <v>693</v>
      </c>
      <c r="C11" s="16" t="s">
        <v>694</v>
      </c>
      <c r="D11" s="16" t="s">
        <v>240</v>
      </c>
      <c r="E11" s="16" t="s">
        <v>241</v>
      </c>
      <c r="F11" s="16" t="s">
        <v>653</v>
      </c>
      <c r="G11" s="16" t="s">
        <v>695</v>
      </c>
      <c r="H11" s="16" t="s">
        <v>662</v>
      </c>
      <c r="I11" s="16" t="s">
        <v>306</v>
      </c>
      <c r="J11" s="16" t="s">
        <v>412</v>
      </c>
      <c r="K11" s="19" t="n">
        <v>0</v>
      </c>
      <c r="L11" s="20" t="s">
        <v>308</v>
      </c>
      <c r="M11" s="20"/>
      <c r="N11" s="20"/>
    </row>
    <row r="12" customFormat="false" ht="35.05" hidden="false" customHeight="false" outlineLevel="0" collapsed="false">
      <c r="A12" s="18" t="s">
        <v>696</v>
      </c>
      <c r="B12" s="16" t="s">
        <v>697</v>
      </c>
      <c r="C12" s="16" t="s">
        <v>698</v>
      </c>
      <c r="D12" s="16" t="s">
        <v>255</v>
      </c>
      <c r="E12" s="16" t="s">
        <v>256</v>
      </c>
      <c r="F12" s="16" t="s">
        <v>653</v>
      </c>
      <c r="G12" s="16" t="s">
        <v>699</v>
      </c>
      <c r="H12" s="16" t="s">
        <v>662</v>
      </c>
      <c r="I12" s="16" t="s">
        <v>306</v>
      </c>
      <c r="J12" s="16" t="s">
        <v>412</v>
      </c>
      <c r="K12" s="19" t="n">
        <v>0</v>
      </c>
      <c r="L12" s="20" t="s">
        <v>308</v>
      </c>
      <c r="M12" s="20"/>
      <c r="N12" s="20"/>
    </row>
    <row r="13" customFormat="false" ht="35.05" hidden="false" customHeight="false" outlineLevel="0" collapsed="false">
      <c r="A13" s="18" t="s">
        <v>700</v>
      </c>
      <c r="B13" s="16" t="s">
        <v>701</v>
      </c>
      <c r="C13" s="16" t="s">
        <v>702</v>
      </c>
      <c r="D13" s="16" t="s">
        <v>83</v>
      </c>
      <c r="E13" s="16" t="s">
        <v>84</v>
      </c>
      <c r="F13" s="16" t="s">
        <v>653</v>
      </c>
      <c r="G13" s="16" t="s">
        <v>703</v>
      </c>
      <c r="H13" s="16" t="s">
        <v>662</v>
      </c>
      <c r="I13" s="16" t="s">
        <v>306</v>
      </c>
      <c r="J13" s="16" t="s">
        <v>412</v>
      </c>
      <c r="K13" s="19" t="n">
        <v>0</v>
      </c>
      <c r="L13" s="20" t="s">
        <v>308</v>
      </c>
      <c r="M13" s="20"/>
      <c r="N13" s="20"/>
    </row>
  </sheetData>
  <autoFilter ref="A1:N13"/>
  <conditionalFormatting sqref="L2:L13">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13"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15" hidden="false" customHeight="false" outlineLevel="0" collapsed="false">
      <c r="A2" s="18" t="s">
        <v>704</v>
      </c>
      <c r="B2" s="16" t="s">
        <v>705</v>
      </c>
      <c r="C2" s="16" t="s">
        <v>706</v>
      </c>
      <c r="D2" s="16" t="s">
        <v>110</v>
      </c>
      <c r="E2" s="16" t="s">
        <v>111</v>
      </c>
      <c r="F2" s="16" t="s">
        <v>707</v>
      </c>
      <c r="G2" s="16" t="s">
        <v>708</v>
      </c>
      <c r="H2" s="16" t="s">
        <v>709</v>
      </c>
      <c r="I2" s="16" t="s">
        <v>306</v>
      </c>
      <c r="J2" s="16" t="s">
        <v>412</v>
      </c>
      <c r="K2" s="19" t="n">
        <v>0</v>
      </c>
      <c r="L2" s="20" t="s">
        <v>308</v>
      </c>
      <c r="M2" s="20"/>
      <c r="N2" s="20"/>
    </row>
    <row r="3" customFormat="false" ht="23.85" hidden="false" customHeight="false" outlineLevel="0" collapsed="false">
      <c r="A3" s="18" t="s">
        <v>710</v>
      </c>
      <c r="B3" s="16" t="s">
        <v>711</v>
      </c>
      <c r="C3" s="16" t="s">
        <v>712</v>
      </c>
      <c r="D3" s="16" t="s">
        <v>713</v>
      </c>
      <c r="E3" s="16" t="s">
        <v>714</v>
      </c>
      <c r="F3" s="16" t="s">
        <v>715</v>
      </c>
      <c r="G3" s="16" t="s">
        <v>716</v>
      </c>
      <c r="H3" s="16" t="s">
        <v>717</v>
      </c>
      <c r="I3" s="16" t="s">
        <v>306</v>
      </c>
      <c r="J3" s="16" t="s">
        <v>412</v>
      </c>
      <c r="K3" s="19" t="n">
        <v>0</v>
      </c>
      <c r="L3" s="20" t="s">
        <v>308</v>
      </c>
      <c r="M3" s="20"/>
      <c r="N3" s="20"/>
    </row>
    <row r="4" customFormat="false" ht="23.85" hidden="false" customHeight="false" outlineLevel="0" collapsed="false">
      <c r="A4" s="18" t="s">
        <v>718</v>
      </c>
      <c r="B4" s="16" t="s">
        <v>719</v>
      </c>
      <c r="C4" s="16" t="s">
        <v>720</v>
      </c>
      <c r="D4" s="16" t="s">
        <v>94</v>
      </c>
      <c r="E4" s="16" t="s">
        <v>95</v>
      </c>
      <c r="F4" s="16" t="s">
        <v>721</v>
      </c>
      <c r="G4" s="16" t="s">
        <v>722</v>
      </c>
      <c r="H4" s="16" t="s">
        <v>723</v>
      </c>
      <c r="I4" s="16" t="s">
        <v>306</v>
      </c>
      <c r="J4" s="16" t="s">
        <v>412</v>
      </c>
      <c r="K4" s="19" t="n">
        <v>0</v>
      </c>
      <c r="L4" s="20" t="s">
        <v>308</v>
      </c>
      <c r="M4" s="20"/>
      <c r="N4" s="20"/>
    </row>
    <row r="5" customFormat="false" ht="35.05" hidden="false" customHeight="false" outlineLevel="0" collapsed="false">
      <c r="A5" s="18" t="s">
        <v>724</v>
      </c>
      <c r="B5" s="16" t="s">
        <v>725</v>
      </c>
      <c r="C5" s="16" t="s">
        <v>726</v>
      </c>
      <c r="D5" s="16" t="s">
        <v>260</v>
      </c>
      <c r="E5" s="16" t="s">
        <v>261</v>
      </c>
      <c r="F5" s="16" t="s">
        <v>727</v>
      </c>
      <c r="G5" s="16" t="s">
        <v>728</v>
      </c>
      <c r="H5" s="16" t="s">
        <v>729</v>
      </c>
      <c r="I5" s="16" t="s">
        <v>306</v>
      </c>
      <c r="J5" s="16" t="s">
        <v>412</v>
      </c>
      <c r="K5" s="19" t="n">
        <v>0</v>
      </c>
      <c r="L5" s="20" t="s">
        <v>308</v>
      </c>
      <c r="M5" s="20"/>
      <c r="N5" s="20"/>
    </row>
    <row r="6" customFormat="false" ht="23.85" hidden="false" customHeight="false" outlineLevel="0" collapsed="false">
      <c r="A6" s="18" t="s">
        <v>730</v>
      </c>
      <c r="B6" s="16" t="s">
        <v>731</v>
      </c>
      <c r="C6" s="16" t="s">
        <v>732</v>
      </c>
      <c r="D6" s="16" t="s">
        <v>260</v>
      </c>
      <c r="E6" s="16" t="s">
        <v>261</v>
      </c>
      <c r="F6" s="16" t="s">
        <v>733</v>
      </c>
      <c r="G6" s="16" t="s">
        <v>734</v>
      </c>
      <c r="H6" s="16" t="s">
        <v>729</v>
      </c>
      <c r="I6" s="16" t="s">
        <v>306</v>
      </c>
      <c r="J6" s="16" t="s">
        <v>412</v>
      </c>
      <c r="K6" s="19" t="n">
        <v>0</v>
      </c>
      <c r="L6" s="20" t="s">
        <v>308</v>
      </c>
      <c r="M6" s="20"/>
      <c r="N6" s="20"/>
    </row>
    <row r="7" customFormat="false" ht="15" hidden="false" customHeight="false" outlineLevel="0" collapsed="false">
      <c r="A7" s="18" t="s">
        <v>735</v>
      </c>
      <c r="B7" s="16" t="s">
        <v>736</v>
      </c>
      <c r="C7" s="16" t="s">
        <v>737</v>
      </c>
      <c r="D7" s="16" t="s">
        <v>178</v>
      </c>
      <c r="E7" s="16" t="s">
        <v>179</v>
      </c>
      <c r="F7" s="16" t="s">
        <v>738</v>
      </c>
      <c r="G7" s="16" t="s">
        <v>739</v>
      </c>
      <c r="H7" s="16" t="s">
        <v>740</v>
      </c>
      <c r="I7" s="16" t="s">
        <v>306</v>
      </c>
      <c r="J7" s="16" t="s">
        <v>412</v>
      </c>
      <c r="K7" s="19" t="n">
        <v>0</v>
      </c>
      <c r="L7" s="20" t="s">
        <v>308</v>
      </c>
      <c r="M7" s="20"/>
      <c r="N7" s="20"/>
    </row>
    <row r="8" customFormat="false" ht="23.85" hidden="false" customHeight="false" outlineLevel="0" collapsed="false">
      <c r="A8" s="18" t="s">
        <v>741</v>
      </c>
      <c r="B8" s="16" t="s">
        <v>742</v>
      </c>
      <c r="C8" s="16" t="s">
        <v>743</v>
      </c>
      <c r="D8" s="16" t="s">
        <v>744</v>
      </c>
      <c r="E8" s="16" t="s">
        <v>745</v>
      </c>
      <c r="F8" s="16" t="s">
        <v>746</v>
      </c>
      <c r="G8" s="16" t="s">
        <v>747</v>
      </c>
      <c r="H8" s="16" t="s">
        <v>748</v>
      </c>
      <c r="I8" s="16" t="s">
        <v>306</v>
      </c>
      <c r="J8" s="16" t="s">
        <v>412</v>
      </c>
      <c r="K8" s="19" t="n">
        <v>0</v>
      </c>
      <c r="L8" s="20" t="s">
        <v>308</v>
      </c>
      <c r="M8" s="20"/>
      <c r="N8" s="20"/>
    </row>
    <row r="9" customFormat="false" ht="23.85" hidden="false" customHeight="false" outlineLevel="0" collapsed="false">
      <c r="A9" s="18" t="s">
        <v>749</v>
      </c>
      <c r="B9" s="16" t="s">
        <v>750</v>
      </c>
      <c r="C9" s="16" t="s">
        <v>751</v>
      </c>
      <c r="D9" s="16" t="s">
        <v>209</v>
      </c>
      <c r="E9" s="16" t="s">
        <v>210</v>
      </c>
      <c r="F9" s="16" t="s">
        <v>752</v>
      </c>
      <c r="G9" s="16" t="s">
        <v>753</v>
      </c>
      <c r="H9" s="16" t="s">
        <v>754</v>
      </c>
      <c r="I9" s="16" t="s">
        <v>306</v>
      </c>
      <c r="J9" s="16" t="s">
        <v>412</v>
      </c>
      <c r="K9" s="19" t="n">
        <v>0</v>
      </c>
      <c r="L9" s="20" t="s">
        <v>308</v>
      </c>
      <c r="M9" s="20"/>
      <c r="N9" s="20"/>
    </row>
    <row r="10" customFormat="false" ht="23.85" hidden="false" customHeight="false" outlineLevel="0" collapsed="false">
      <c r="A10" s="18" t="s">
        <v>755</v>
      </c>
      <c r="B10" s="16" t="s">
        <v>756</v>
      </c>
      <c r="C10" s="16" t="s">
        <v>757</v>
      </c>
      <c r="D10" s="16" t="s">
        <v>152</v>
      </c>
      <c r="E10" s="16" t="s">
        <v>153</v>
      </c>
      <c r="F10" s="16" t="s">
        <v>758</v>
      </c>
      <c r="G10" s="16" t="s">
        <v>759</v>
      </c>
      <c r="H10" s="16" t="s">
        <v>729</v>
      </c>
      <c r="I10" s="16" t="s">
        <v>306</v>
      </c>
      <c r="J10" s="16" t="s">
        <v>412</v>
      </c>
      <c r="K10" s="19" t="n">
        <v>0</v>
      </c>
      <c r="L10" s="20" t="s">
        <v>308</v>
      </c>
      <c r="M10" s="20"/>
      <c r="N10" s="20"/>
    </row>
    <row r="11" customFormat="false" ht="15" hidden="false" customHeight="false" outlineLevel="0" collapsed="false">
      <c r="A11" s="18" t="s">
        <v>760</v>
      </c>
      <c r="B11" s="16" t="s">
        <v>761</v>
      </c>
      <c r="C11" s="16" t="s">
        <v>762</v>
      </c>
      <c r="D11" s="16" t="s">
        <v>126</v>
      </c>
      <c r="E11" s="16" t="s">
        <v>127</v>
      </c>
      <c r="F11" s="16" t="s">
        <v>763</v>
      </c>
      <c r="G11" s="16" t="s">
        <v>764</v>
      </c>
      <c r="H11" s="16" t="s">
        <v>765</v>
      </c>
      <c r="I11" s="16" t="s">
        <v>306</v>
      </c>
      <c r="J11" s="16" t="s">
        <v>412</v>
      </c>
      <c r="K11" s="19" t="n">
        <v>0</v>
      </c>
      <c r="L11" s="20" t="s">
        <v>308</v>
      </c>
      <c r="M11" s="20"/>
      <c r="N11" s="20"/>
    </row>
    <row r="12" customFormat="false" ht="15" hidden="false" customHeight="false" outlineLevel="0" collapsed="false">
      <c r="A12" s="18" t="s">
        <v>766</v>
      </c>
      <c r="B12" s="16" t="s">
        <v>767</v>
      </c>
      <c r="C12" s="16" t="s">
        <v>768</v>
      </c>
      <c r="D12" s="16" t="s">
        <v>199</v>
      </c>
      <c r="E12" s="16" t="s">
        <v>200</v>
      </c>
      <c r="F12" s="16" t="s">
        <v>769</v>
      </c>
      <c r="G12" s="16" t="s">
        <v>770</v>
      </c>
      <c r="H12" s="16" t="s">
        <v>771</v>
      </c>
      <c r="I12" s="16" t="s">
        <v>306</v>
      </c>
      <c r="J12" s="16" t="s">
        <v>412</v>
      </c>
      <c r="K12" s="19" t="n">
        <v>0</v>
      </c>
      <c r="L12" s="20" t="s">
        <v>308</v>
      </c>
      <c r="M12" s="20"/>
      <c r="N12" s="20"/>
    </row>
    <row r="13" customFormat="false" ht="23.85" hidden="false" customHeight="false" outlineLevel="0" collapsed="false">
      <c r="A13" s="18" t="s">
        <v>772</v>
      </c>
      <c r="B13" s="16" t="s">
        <v>773</v>
      </c>
      <c r="C13" s="16" t="s">
        <v>774</v>
      </c>
      <c r="D13" s="16" t="s">
        <v>199</v>
      </c>
      <c r="E13" s="16" t="s">
        <v>200</v>
      </c>
      <c r="F13" s="16" t="s">
        <v>775</v>
      </c>
      <c r="G13" s="16" t="s">
        <v>776</v>
      </c>
      <c r="H13" s="16" t="s">
        <v>777</v>
      </c>
      <c r="I13" s="16" t="s">
        <v>306</v>
      </c>
      <c r="J13" s="16" t="s">
        <v>412</v>
      </c>
      <c r="K13" s="19" t="n">
        <v>0</v>
      </c>
      <c r="L13" s="20" t="s">
        <v>308</v>
      </c>
      <c r="M13" s="20"/>
      <c r="N13" s="20"/>
    </row>
    <row r="14" customFormat="false" ht="23.85" hidden="false" customHeight="false" outlineLevel="0" collapsed="false">
      <c r="A14" s="18" t="s">
        <v>778</v>
      </c>
      <c r="B14" s="16" t="s">
        <v>779</v>
      </c>
      <c r="C14" s="16" t="s">
        <v>780</v>
      </c>
      <c r="D14" s="16" t="s">
        <v>142</v>
      </c>
      <c r="E14" s="16" t="s">
        <v>143</v>
      </c>
      <c r="F14" s="16" t="s">
        <v>781</v>
      </c>
      <c r="G14" s="16" t="s">
        <v>782</v>
      </c>
      <c r="H14" s="16" t="s">
        <v>729</v>
      </c>
      <c r="I14" s="16" t="s">
        <v>306</v>
      </c>
      <c r="J14" s="16" t="s">
        <v>412</v>
      </c>
      <c r="K14" s="19" t="n">
        <v>0</v>
      </c>
      <c r="L14" s="20" t="s">
        <v>308</v>
      </c>
      <c r="M14" s="20"/>
      <c r="N14" s="20"/>
    </row>
    <row r="15" customFormat="false" ht="15" hidden="false" customHeight="false" outlineLevel="0" collapsed="false">
      <c r="A15" s="18" t="s">
        <v>783</v>
      </c>
      <c r="B15" s="16" t="s">
        <v>784</v>
      </c>
      <c r="C15" s="16" t="s">
        <v>785</v>
      </c>
      <c r="D15" s="16" t="s">
        <v>214</v>
      </c>
      <c r="E15" s="16" t="s">
        <v>215</v>
      </c>
      <c r="F15" s="16" t="s">
        <v>786</v>
      </c>
      <c r="G15" s="16" t="s">
        <v>787</v>
      </c>
      <c r="H15" s="16" t="s">
        <v>729</v>
      </c>
      <c r="I15" s="16" t="s">
        <v>306</v>
      </c>
      <c r="J15" s="16" t="s">
        <v>412</v>
      </c>
      <c r="K15" s="19" t="n">
        <v>0</v>
      </c>
      <c r="L15" s="20" t="s">
        <v>308</v>
      </c>
      <c r="M15" s="20"/>
      <c r="N15" s="20"/>
    </row>
    <row r="16" customFormat="false" ht="15" hidden="false" customHeight="false" outlineLevel="0" collapsed="false">
      <c r="A16" s="18" t="s">
        <v>788</v>
      </c>
      <c r="B16" s="16" t="s">
        <v>789</v>
      </c>
      <c r="C16" s="16" t="s">
        <v>790</v>
      </c>
      <c r="D16" s="16" t="s">
        <v>214</v>
      </c>
      <c r="E16" s="16" t="s">
        <v>215</v>
      </c>
      <c r="F16" s="16" t="s">
        <v>791</v>
      </c>
      <c r="G16" s="16" t="s">
        <v>792</v>
      </c>
      <c r="H16" s="16" t="s">
        <v>729</v>
      </c>
      <c r="I16" s="16" t="s">
        <v>306</v>
      </c>
      <c r="J16" s="16" t="s">
        <v>412</v>
      </c>
      <c r="K16" s="19" t="n">
        <v>0</v>
      </c>
      <c r="L16" s="20" t="s">
        <v>308</v>
      </c>
      <c r="M16" s="20"/>
      <c r="N16" s="20"/>
    </row>
    <row r="17" customFormat="false" ht="23.85" hidden="false" customHeight="false" outlineLevel="0" collapsed="false">
      <c r="A17" s="18" t="s">
        <v>793</v>
      </c>
      <c r="B17" s="16" t="s">
        <v>794</v>
      </c>
      <c r="C17" s="16" t="s">
        <v>795</v>
      </c>
      <c r="D17" s="16" t="s">
        <v>260</v>
      </c>
      <c r="E17" s="16" t="s">
        <v>261</v>
      </c>
      <c r="F17" s="16" t="s">
        <v>796</v>
      </c>
      <c r="G17" s="16" t="s">
        <v>797</v>
      </c>
      <c r="H17" s="16" t="s">
        <v>798</v>
      </c>
      <c r="I17" s="16" t="s">
        <v>306</v>
      </c>
      <c r="J17" s="16" t="s">
        <v>412</v>
      </c>
      <c r="K17" s="19" t="n">
        <v>0</v>
      </c>
      <c r="L17" s="20" t="s">
        <v>308</v>
      </c>
      <c r="M17" s="20"/>
      <c r="N17" s="20"/>
    </row>
    <row r="18" customFormat="false" ht="23.85" hidden="false" customHeight="false" outlineLevel="0" collapsed="false">
      <c r="A18" s="18" t="s">
        <v>799</v>
      </c>
      <c r="B18" s="16" t="s">
        <v>800</v>
      </c>
      <c r="C18" s="16" t="s">
        <v>801</v>
      </c>
      <c r="D18" s="16" t="s">
        <v>204</v>
      </c>
      <c r="E18" s="16" t="s">
        <v>205</v>
      </c>
      <c r="F18" s="16" t="s">
        <v>802</v>
      </c>
      <c r="G18" s="16" t="s">
        <v>803</v>
      </c>
      <c r="H18" s="16" t="s">
        <v>729</v>
      </c>
      <c r="I18" s="16" t="s">
        <v>306</v>
      </c>
      <c r="J18" s="16" t="s">
        <v>412</v>
      </c>
      <c r="K18" s="19" t="n">
        <v>0</v>
      </c>
      <c r="L18" s="20" t="s">
        <v>308</v>
      </c>
      <c r="M18" s="20"/>
      <c r="N18" s="20"/>
    </row>
    <row r="19" customFormat="false" ht="23.85" hidden="false" customHeight="false" outlineLevel="0" collapsed="false">
      <c r="A19" s="18" t="s">
        <v>804</v>
      </c>
      <c r="B19" s="16" t="s">
        <v>805</v>
      </c>
      <c r="C19" s="16" t="s">
        <v>806</v>
      </c>
      <c r="D19" s="16" t="s">
        <v>214</v>
      </c>
      <c r="E19" s="16" t="s">
        <v>215</v>
      </c>
      <c r="F19" s="16" t="s">
        <v>807</v>
      </c>
      <c r="G19" s="16" t="s">
        <v>808</v>
      </c>
      <c r="H19" s="16" t="s">
        <v>729</v>
      </c>
      <c r="I19" s="16" t="s">
        <v>306</v>
      </c>
      <c r="J19" s="16" t="s">
        <v>412</v>
      </c>
      <c r="K19" s="19" t="n">
        <v>0</v>
      </c>
      <c r="L19" s="20" t="s">
        <v>308</v>
      </c>
      <c r="M19" s="20"/>
      <c r="N19" s="20"/>
    </row>
    <row r="20" customFormat="false" ht="23.85" hidden="false" customHeight="false" outlineLevel="0" collapsed="false">
      <c r="A20" s="18" t="s">
        <v>809</v>
      </c>
      <c r="B20" s="16" t="s">
        <v>810</v>
      </c>
      <c r="C20" s="16" t="s">
        <v>811</v>
      </c>
      <c r="D20" s="16" t="s">
        <v>99</v>
      </c>
      <c r="E20" s="16" t="s">
        <v>100</v>
      </c>
      <c r="F20" s="16" t="s">
        <v>812</v>
      </c>
      <c r="G20" s="16" t="s">
        <v>813</v>
      </c>
      <c r="H20" s="16" t="s">
        <v>729</v>
      </c>
      <c r="I20" s="16" t="s">
        <v>306</v>
      </c>
      <c r="J20" s="16" t="s">
        <v>412</v>
      </c>
      <c r="K20" s="19" t="n">
        <v>0</v>
      </c>
      <c r="L20" s="20" t="s">
        <v>308</v>
      </c>
      <c r="M20" s="20"/>
      <c r="N20" s="20"/>
    </row>
    <row r="21" customFormat="false" ht="15" hidden="false" customHeight="false" outlineLevel="0" collapsed="false">
      <c r="A21" s="18" t="s">
        <v>814</v>
      </c>
      <c r="B21" s="16" t="s">
        <v>815</v>
      </c>
      <c r="C21" s="16" t="s">
        <v>816</v>
      </c>
      <c r="D21" s="16" t="s">
        <v>224</v>
      </c>
      <c r="E21" s="16" t="s">
        <v>225</v>
      </c>
      <c r="F21" s="16" t="s">
        <v>817</v>
      </c>
      <c r="G21" s="16" t="s">
        <v>818</v>
      </c>
      <c r="H21" s="16" t="s">
        <v>729</v>
      </c>
      <c r="I21" s="16" t="s">
        <v>306</v>
      </c>
      <c r="J21" s="16" t="s">
        <v>412</v>
      </c>
      <c r="K21" s="19" t="n">
        <v>0</v>
      </c>
      <c r="L21" s="20" t="s">
        <v>308</v>
      </c>
      <c r="M21" s="20"/>
      <c r="N21" s="20"/>
    </row>
    <row r="22" customFormat="false" ht="23.85" hidden="false" customHeight="false" outlineLevel="0" collapsed="false">
      <c r="A22" s="18" t="s">
        <v>819</v>
      </c>
      <c r="B22" s="16" t="s">
        <v>820</v>
      </c>
      <c r="C22" s="16" t="s">
        <v>821</v>
      </c>
      <c r="D22" s="16" t="s">
        <v>178</v>
      </c>
      <c r="E22" s="16" t="s">
        <v>179</v>
      </c>
      <c r="F22" s="16" t="s">
        <v>822</v>
      </c>
      <c r="G22" s="16" t="s">
        <v>823</v>
      </c>
      <c r="H22" s="16" t="s">
        <v>824</v>
      </c>
      <c r="I22" s="16" t="s">
        <v>306</v>
      </c>
      <c r="J22" s="16" t="s">
        <v>412</v>
      </c>
      <c r="K22" s="19" t="n">
        <v>0</v>
      </c>
      <c r="L22" s="20" t="s">
        <v>308</v>
      </c>
      <c r="M22" s="20"/>
      <c r="N22" s="20"/>
    </row>
  </sheetData>
  <autoFilter ref="A1:N22"/>
  <conditionalFormatting sqref="L2:L22">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22"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35.05" hidden="false" customHeight="false" outlineLevel="0" collapsed="false">
      <c r="A2" s="18" t="s">
        <v>825</v>
      </c>
      <c r="B2" s="16" t="s">
        <v>826</v>
      </c>
      <c r="C2" s="16" t="s">
        <v>827</v>
      </c>
      <c r="D2" s="16" t="s">
        <v>828</v>
      </c>
      <c r="E2" s="16" t="s">
        <v>829</v>
      </c>
      <c r="F2" s="16" t="s">
        <v>830</v>
      </c>
      <c r="G2" s="16" t="s">
        <v>831</v>
      </c>
      <c r="H2" s="16" t="s">
        <v>832</v>
      </c>
      <c r="I2" s="16" t="s">
        <v>507</v>
      </c>
      <c r="J2" s="16" t="s">
        <v>412</v>
      </c>
      <c r="K2" s="19" t="n">
        <v>0</v>
      </c>
      <c r="L2" s="20" t="s">
        <v>308</v>
      </c>
      <c r="M2" s="20"/>
      <c r="N2" s="20"/>
    </row>
    <row r="3" customFormat="false" ht="23.85" hidden="false" customHeight="false" outlineLevel="0" collapsed="false">
      <c r="A3" s="18" t="s">
        <v>833</v>
      </c>
      <c r="B3" s="16" t="s">
        <v>834</v>
      </c>
      <c r="C3" s="16" t="s">
        <v>827</v>
      </c>
      <c r="D3" s="16" t="s">
        <v>116</v>
      </c>
      <c r="E3" s="16" t="s">
        <v>117</v>
      </c>
      <c r="F3" s="16" t="s">
        <v>835</v>
      </c>
      <c r="G3" s="16" t="s">
        <v>836</v>
      </c>
      <c r="H3" s="16" t="s">
        <v>837</v>
      </c>
      <c r="I3" s="16" t="s">
        <v>507</v>
      </c>
      <c r="J3" s="16" t="s">
        <v>412</v>
      </c>
      <c r="K3" s="19" t="n">
        <v>0</v>
      </c>
      <c r="L3" s="20" t="s">
        <v>308</v>
      </c>
      <c r="M3" s="20"/>
      <c r="N3" s="20"/>
    </row>
    <row r="4" customFormat="false" ht="35.05" hidden="false" customHeight="false" outlineLevel="0" collapsed="false">
      <c r="A4" s="18" t="s">
        <v>838</v>
      </c>
      <c r="B4" s="16" t="s">
        <v>839</v>
      </c>
      <c r="C4" s="16" t="s">
        <v>827</v>
      </c>
      <c r="D4" s="16" t="s">
        <v>110</v>
      </c>
      <c r="E4" s="16" t="s">
        <v>111</v>
      </c>
      <c r="F4" s="16" t="s">
        <v>840</v>
      </c>
      <c r="G4" s="16" t="s">
        <v>841</v>
      </c>
      <c r="H4" s="16" t="s">
        <v>842</v>
      </c>
      <c r="I4" s="16" t="s">
        <v>507</v>
      </c>
      <c r="J4" s="16" t="s">
        <v>412</v>
      </c>
      <c r="K4" s="19" t="n">
        <v>0</v>
      </c>
      <c r="L4" s="20" t="s">
        <v>308</v>
      </c>
      <c r="M4" s="20"/>
      <c r="N4" s="20"/>
    </row>
    <row r="5" customFormat="false" ht="23.85" hidden="false" customHeight="false" outlineLevel="0" collapsed="false">
      <c r="A5" s="18" t="s">
        <v>843</v>
      </c>
      <c r="B5" s="16" t="s">
        <v>844</v>
      </c>
      <c r="C5" s="16" t="s">
        <v>827</v>
      </c>
      <c r="D5" s="16" t="s">
        <v>126</v>
      </c>
      <c r="E5" s="16" t="s">
        <v>127</v>
      </c>
      <c r="F5" s="16" t="s">
        <v>835</v>
      </c>
      <c r="G5" s="16" t="s">
        <v>845</v>
      </c>
      <c r="H5" s="16" t="s">
        <v>846</v>
      </c>
      <c r="I5" s="16" t="s">
        <v>507</v>
      </c>
      <c r="J5" s="16" t="s">
        <v>412</v>
      </c>
      <c r="K5" s="19" t="n">
        <v>0</v>
      </c>
      <c r="L5" s="20" t="s">
        <v>308</v>
      </c>
      <c r="M5" s="20"/>
      <c r="N5" s="20"/>
    </row>
    <row r="6" customFormat="false" ht="23.85" hidden="false" customHeight="false" outlineLevel="0" collapsed="false">
      <c r="A6" s="18" t="s">
        <v>847</v>
      </c>
      <c r="B6" s="16" t="s">
        <v>848</v>
      </c>
      <c r="C6" s="16" t="s">
        <v>827</v>
      </c>
      <c r="D6" s="16" t="s">
        <v>136</v>
      </c>
      <c r="E6" s="16" t="s">
        <v>137</v>
      </c>
      <c r="F6" s="16" t="s">
        <v>835</v>
      </c>
      <c r="G6" s="16" t="s">
        <v>849</v>
      </c>
      <c r="H6" s="16" t="s">
        <v>850</v>
      </c>
      <c r="I6" s="16" t="s">
        <v>507</v>
      </c>
      <c r="J6" s="16" t="s">
        <v>412</v>
      </c>
      <c r="K6" s="19" t="n">
        <v>0</v>
      </c>
      <c r="L6" s="20" t="s">
        <v>308</v>
      </c>
      <c r="M6" s="20"/>
      <c r="N6" s="20"/>
    </row>
    <row r="7" customFormat="false" ht="23.85" hidden="false" customHeight="false" outlineLevel="0" collapsed="false">
      <c r="A7" s="18" t="s">
        <v>851</v>
      </c>
      <c r="B7" s="16" t="s">
        <v>852</v>
      </c>
      <c r="C7" s="16" t="s">
        <v>827</v>
      </c>
      <c r="D7" s="16" t="s">
        <v>89</v>
      </c>
      <c r="E7" s="16" t="s">
        <v>90</v>
      </c>
      <c r="F7" s="16" t="s">
        <v>835</v>
      </c>
      <c r="G7" s="16" t="s">
        <v>853</v>
      </c>
      <c r="H7" s="16" t="s">
        <v>846</v>
      </c>
      <c r="I7" s="16" t="s">
        <v>507</v>
      </c>
      <c r="J7" s="16" t="s">
        <v>412</v>
      </c>
      <c r="K7" s="19" t="n">
        <v>0</v>
      </c>
      <c r="L7" s="20" t="s">
        <v>308</v>
      </c>
      <c r="M7" s="20"/>
      <c r="N7" s="20"/>
    </row>
    <row r="8" customFormat="false" ht="23.85" hidden="false" customHeight="false" outlineLevel="0" collapsed="false">
      <c r="A8" s="18" t="s">
        <v>854</v>
      </c>
      <c r="B8" s="16" t="s">
        <v>855</v>
      </c>
      <c r="C8" s="16" t="s">
        <v>827</v>
      </c>
      <c r="D8" s="16" t="s">
        <v>856</v>
      </c>
      <c r="E8" s="16" t="s">
        <v>857</v>
      </c>
      <c r="F8" s="16" t="s">
        <v>858</v>
      </c>
      <c r="G8" s="16" t="s">
        <v>859</v>
      </c>
      <c r="H8" s="16" t="s">
        <v>860</v>
      </c>
      <c r="I8" s="16" t="s">
        <v>507</v>
      </c>
      <c r="J8" s="16" t="s">
        <v>412</v>
      </c>
      <c r="K8" s="19" t="n">
        <v>0</v>
      </c>
      <c r="L8" s="20" t="s">
        <v>308</v>
      </c>
      <c r="M8" s="20"/>
      <c r="N8" s="20"/>
    </row>
    <row r="9" customFormat="false" ht="23.85" hidden="false" customHeight="false" outlineLevel="0" collapsed="false">
      <c r="A9" s="18" t="s">
        <v>861</v>
      </c>
      <c r="B9" s="16" t="s">
        <v>862</v>
      </c>
      <c r="C9" s="16" t="s">
        <v>827</v>
      </c>
      <c r="D9" s="16" t="s">
        <v>152</v>
      </c>
      <c r="E9" s="16" t="s">
        <v>153</v>
      </c>
      <c r="F9" s="16" t="s">
        <v>835</v>
      </c>
      <c r="G9" s="16" t="s">
        <v>863</v>
      </c>
      <c r="H9" s="16" t="s">
        <v>846</v>
      </c>
      <c r="I9" s="16" t="s">
        <v>507</v>
      </c>
      <c r="J9" s="16" t="s">
        <v>412</v>
      </c>
      <c r="K9" s="19" t="n">
        <v>0</v>
      </c>
      <c r="L9" s="20" t="s">
        <v>308</v>
      </c>
      <c r="M9" s="20"/>
      <c r="N9" s="20"/>
    </row>
    <row r="10" customFormat="false" ht="35.05" hidden="false" customHeight="false" outlineLevel="0" collapsed="false">
      <c r="A10" s="18" t="s">
        <v>864</v>
      </c>
      <c r="B10" s="16" t="s">
        <v>865</v>
      </c>
      <c r="C10" s="16" t="s">
        <v>827</v>
      </c>
      <c r="D10" s="16" t="s">
        <v>235</v>
      </c>
      <c r="E10" s="16" t="s">
        <v>236</v>
      </c>
      <c r="F10" s="16" t="s">
        <v>866</v>
      </c>
      <c r="G10" s="16" t="s">
        <v>867</v>
      </c>
      <c r="H10" s="16" t="s">
        <v>868</v>
      </c>
      <c r="I10" s="16" t="s">
        <v>507</v>
      </c>
      <c r="J10" s="16" t="s">
        <v>412</v>
      </c>
      <c r="K10" s="19" t="n">
        <v>0</v>
      </c>
      <c r="L10" s="20" t="s">
        <v>308</v>
      </c>
      <c r="M10" s="20"/>
      <c r="N10" s="20"/>
    </row>
    <row r="11" customFormat="false" ht="23.85" hidden="false" customHeight="false" outlineLevel="0" collapsed="false">
      <c r="A11" s="18" t="s">
        <v>869</v>
      </c>
      <c r="B11" s="16" t="s">
        <v>870</v>
      </c>
      <c r="C11" s="16" t="s">
        <v>827</v>
      </c>
      <c r="D11" s="16" t="s">
        <v>63</v>
      </c>
      <c r="E11" s="16" t="s">
        <v>64</v>
      </c>
      <c r="F11" s="16" t="s">
        <v>835</v>
      </c>
      <c r="G11" s="16" t="s">
        <v>871</v>
      </c>
      <c r="H11" s="16" t="s">
        <v>846</v>
      </c>
      <c r="I11" s="16" t="s">
        <v>507</v>
      </c>
      <c r="J11" s="16" t="s">
        <v>412</v>
      </c>
      <c r="K11" s="19" t="n">
        <v>0</v>
      </c>
      <c r="L11" s="20" t="s">
        <v>308</v>
      </c>
      <c r="M11" s="20"/>
      <c r="N11" s="20"/>
    </row>
    <row r="12" customFormat="false" ht="57.45" hidden="false" customHeight="false" outlineLevel="0" collapsed="false">
      <c r="A12" s="18" t="s">
        <v>872</v>
      </c>
      <c r="B12" s="16" t="s">
        <v>873</v>
      </c>
      <c r="C12" s="16" t="s">
        <v>827</v>
      </c>
      <c r="D12" s="16" t="s">
        <v>874</v>
      </c>
      <c r="E12" s="16" t="s">
        <v>875</v>
      </c>
      <c r="F12" s="16" t="s">
        <v>835</v>
      </c>
      <c r="G12" s="16" t="s">
        <v>876</v>
      </c>
      <c r="H12" s="16" t="s">
        <v>846</v>
      </c>
      <c r="I12" s="16" t="s">
        <v>507</v>
      </c>
      <c r="J12" s="16" t="s">
        <v>412</v>
      </c>
      <c r="K12" s="19" t="n">
        <v>0</v>
      </c>
      <c r="L12" s="20" t="s">
        <v>308</v>
      </c>
      <c r="M12" s="20"/>
      <c r="N12" s="20"/>
    </row>
    <row r="13" customFormat="false" ht="35.05" hidden="false" customHeight="false" outlineLevel="0" collapsed="false">
      <c r="A13" s="18" t="s">
        <v>877</v>
      </c>
      <c r="B13" s="16" t="s">
        <v>878</v>
      </c>
      <c r="C13" s="16" t="s">
        <v>827</v>
      </c>
      <c r="D13" s="16" t="s">
        <v>879</v>
      </c>
      <c r="E13" s="16" t="s">
        <v>880</v>
      </c>
      <c r="F13" s="16" t="s">
        <v>835</v>
      </c>
      <c r="G13" s="16" t="s">
        <v>881</v>
      </c>
      <c r="H13" s="16" t="s">
        <v>846</v>
      </c>
      <c r="I13" s="16" t="s">
        <v>507</v>
      </c>
      <c r="J13" s="16" t="s">
        <v>412</v>
      </c>
      <c r="K13" s="19" t="n">
        <v>0</v>
      </c>
      <c r="L13" s="20" t="s">
        <v>308</v>
      </c>
      <c r="M13" s="20"/>
      <c r="N13" s="20"/>
    </row>
  </sheetData>
  <autoFilter ref="A1:N13"/>
  <conditionalFormatting sqref="L2:L13">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13"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35.05" hidden="false" customHeight="false" outlineLevel="0" collapsed="false">
      <c r="A2" s="18" t="s">
        <v>882</v>
      </c>
      <c r="B2" s="16" t="s">
        <v>883</v>
      </c>
      <c r="C2" s="16" t="s">
        <v>884</v>
      </c>
      <c r="D2" s="16" t="s">
        <v>885</v>
      </c>
      <c r="E2" s="16" t="s">
        <v>886</v>
      </c>
      <c r="F2" s="16" t="s">
        <v>887</v>
      </c>
      <c r="G2" s="16" t="s">
        <v>888</v>
      </c>
      <c r="H2" s="16" t="s">
        <v>889</v>
      </c>
      <c r="I2" s="16" t="s">
        <v>507</v>
      </c>
      <c r="J2" s="16" t="s">
        <v>890</v>
      </c>
      <c r="K2" s="19" t="n">
        <v>0</v>
      </c>
      <c r="L2" s="20" t="s">
        <v>308</v>
      </c>
      <c r="M2" s="20"/>
      <c r="N2" s="20"/>
    </row>
    <row r="3" customFormat="false" ht="35.05" hidden="false" customHeight="false" outlineLevel="0" collapsed="false">
      <c r="A3" s="18" t="s">
        <v>891</v>
      </c>
      <c r="B3" s="16" t="s">
        <v>892</v>
      </c>
      <c r="C3" s="16" t="s">
        <v>893</v>
      </c>
      <c r="D3" s="16" t="s">
        <v>894</v>
      </c>
      <c r="E3" s="16" t="s">
        <v>895</v>
      </c>
      <c r="F3" s="16" t="s">
        <v>887</v>
      </c>
      <c r="G3" s="16" t="s">
        <v>896</v>
      </c>
      <c r="H3" s="16" t="s">
        <v>897</v>
      </c>
      <c r="I3" s="16" t="s">
        <v>507</v>
      </c>
      <c r="J3" s="16" t="s">
        <v>412</v>
      </c>
      <c r="K3" s="19" t="n">
        <v>0</v>
      </c>
      <c r="L3" s="20" t="s">
        <v>308</v>
      </c>
      <c r="M3" s="20"/>
      <c r="N3" s="20"/>
    </row>
    <row r="4" customFormat="false" ht="35.05" hidden="false" customHeight="false" outlineLevel="0" collapsed="false">
      <c r="A4" s="18" t="s">
        <v>898</v>
      </c>
      <c r="B4" s="16" t="s">
        <v>899</v>
      </c>
      <c r="C4" s="16" t="s">
        <v>900</v>
      </c>
      <c r="D4" s="16" t="s">
        <v>901</v>
      </c>
      <c r="E4" s="16" t="s">
        <v>902</v>
      </c>
      <c r="F4" s="16" t="s">
        <v>887</v>
      </c>
      <c r="G4" s="16" t="s">
        <v>903</v>
      </c>
      <c r="H4" s="16" t="s">
        <v>897</v>
      </c>
      <c r="I4" s="16" t="s">
        <v>507</v>
      </c>
      <c r="J4" s="16" t="s">
        <v>412</v>
      </c>
      <c r="K4" s="19" t="n">
        <v>0</v>
      </c>
      <c r="L4" s="20" t="s">
        <v>308</v>
      </c>
      <c r="M4" s="20"/>
      <c r="N4" s="20"/>
    </row>
    <row r="5" customFormat="false" ht="35.05" hidden="false" customHeight="false" outlineLevel="0" collapsed="false">
      <c r="A5" s="18" t="s">
        <v>904</v>
      </c>
      <c r="B5" s="16" t="s">
        <v>905</v>
      </c>
      <c r="C5" s="16" t="s">
        <v>906</v>
      </c>
      <c r="D5" s="16" t="s">
        <v>907</v>
      </c>
      <c r="E5" s="16" t="s">
        <v>908</v>
      </c>
      <c r="F5" s="16" t="s">
        <v>887</v>
      </c>
      <c r="G5" s="16" t="s">
        <v>909</v>
      </c>
      <c r="H5" s="16" t="s">
        <v>897</v>
      </c>
      <c r="I5" s="16" t="s">
        <v>507</v>
      </c>
      <c r="J5" s="16" t="s">
        <v>412</v>
      </c>
      <c r="K5" s="19" t="n">
        <v>0</v>
      </c>
      <c r="L5" s="20" t="s">
        <v>308</v>
      </c>
      <c r="M5" s="20"/>
      <c r="N5" s="20"/>
    </row>
    <row r="6" customFormat="false" ht="35.05" hidden="false" customHeight="false" outlineLevel="0" collapsed="false">
      <c r="A6" s="18" t="s">
        <v>910</v>
      </c>
      <c r="B6" s="16" t="s">
        <v>911</v>
      </c>
      <c r="C6" s="16" t="s">
        <v>912</v>
      </c>
      <c r="D6" s="16" t="s">
        <v>913</v>
      </c>
      <c r="E6" s="16" t="s">
        <v>914</v>
      </c>
      <c r="F6" s="16" t="s">
        <v>887</v>
      </c>
      <c r="G6" s="16" t="s">
        <v>915</v>
      </c>
      <c r="H6" s="16" t="s">
        <v>897</v>
      </c>
      <c r="I6" s="16" t="s">
        <v>507</v>
      </c>
      <c r="J6" s="16" t="s">
        <v>412</v>
      </c>
      <c r="K6" s="19" t="n">
        <v>0</v>
      </c>
      <c r="L6" s="20" t="s">
        <v>308</v>
      </c>
      <c r="M6" s="20"/>
      <c r="N6" s="20"/>
    </row>
    <row r="7" customFormat="false" ht="35.05" hidden="false" customHeight="false" outlineLevel="0" collapsed="false">
      <c r="A7" s="18" t="s">
        <v>916</v>
      </c>
      <c r="B7" s="16" t="s">
        <v>917</v>
      </c>
      <c r="C7" s="16" t="s">
        <v>918</v>
      </c>
      <c r="D7" s="16" t="s">
        <v>919</v>
      </c>
      <c r="E7" s="16" t="s">
        <v>920</v>
      </c>
      <c r="F7" s="16" t="s">
        <v>887</v>
      </c>
      <c r="G7" s="16" t="s">
        <v>921</v>
      </c>
      <c r="H7" s="16" t="s">
        <v>897</v>
      </c>
      <c r="I7" s="16" t="s">
        <v>507</v>
      </c>
      <c r="J7" s="16" t="s">
        <v>412</v>
      </c>
      <c r="K7" s="19" t="n">
        <v>0</v>
      </c>
      <c r="L7" s="20" t="s">
        <v>308</v>
      </c>
      <c r="M7" s="20"/>
      <c r="N7" s="20"/>
    </row>
    <row r="8" customFormat="false" ht="35.05" hidden="false" customHeight="false" outlineLevel="0" collapsed="false">
      <c r="A8" s="18" t="s">
        <v>922</v>
      </c>
      <c r="B8" s="16" t="s">
        <v>923</v>
      </c>
      <c r="C8" s="16" t="s">
        <v>924</v>
      </c>
      <c r="D8" s="16" t="s">
        <v>925</v>
      </c>
      <c r="E8" s="16" t="s">
        <v>926</v>
      </c>
      <c r="F8" s="16" t="s">
        <v>887</v>
      </c>
      <c r="G8" s="16" t="s">
        <v>927</v>
      </c>
      <c r="H8" s="16" t="s">
        <v>897</v>
      </c>
      <c r="I8" s="16" t="s">
        <v>507</v>
      </c>
      <c r="J8" s="16" t="s">
        <v>904</v>
      </c>
      <c r="K8" s="19" t="n">
        <v>0</v>
      </c>
      <c r="L8" s="20" t="s">
        <v>308</v>
      </c>
      <c r="M8" s="20"/>
      <c r="N8" s="20"/>
    </row>
    <row r="9" customFormat="false" ht="35.05" hidden="false" customHeight="false" outlineLevel="0" collapsed="false">
      <c r="A9" s="18" t="s">
        <v>928</v>
      </c>
      <c r="B9" s="16" t="s">
        <v>929</v>
      </c>
      <c r="C9" s="16" t="s">
        <v>930</v>
      </c>
      <c r="D9" s="16" t="s">
        <v>931</v>
      </c>
      <c r="E9" s="16" t="s">
        <v>932</v>
      </c>
      <c r="F9" s="16" t="s">
        <v>887</v>
      </c>
      <c r="G9" s="16" t="s">
        <v>933</v>
      </c>
      <c r="H9" s="16" t="s">
        <v>897</v>
      </c>
      <c r="I9" s="16" t="s">
        <v>507</v>
      </c>
      <c r="J9" s="16" t="s">
        <v>412</v>
      </c>
      <c r="K9" s="19" t="n">
        <v>0</v>
      </c>
      <c r="L9" s="20" t="s">
        <v>308</v>
      </c>
      <c r="M9" s="20"/>
      <c r="N9" s="20"/>
    </row>
    <row r="10" customFormat="false" ht="35.05" hidden="false" customHeight="false" outlineLevel="0" collapsed="false">
      <c r="A10" s="18" t="s">
        <v>934</v>
      </c>
      <c r="B10" s="16" t="s">
        <v>935</v>
      </c>
      <c r="C10" s="16" t="s">
        <v>936</v>
      </c>
      <c r="D10" s="16" t="s">
        <v>937</v>
      </c>
      <c r="E10" s="16" t="s">
        <v>938</v>
      </c>
      <c r="F10" s="16" t="s">
        <v>887</v>
      </c>
      <c r="G10" s="16" t="s">
        <v>939</v>
      </c>
      <c r="H10" s="16" t="s">
        <v>940</v>
      </c>
      <c r="I10" s="16" t="s">
        <v>507</v>
      </c>
      <c r="J10" s="16" t="s">
        <v>412</v>
      </c>
      <c r="K10" s="19" t="n">
        <v>0</v>
      </c>
      <c r="L10" s="20" t="s">
        <v>308</v>
      </c>
      <c r="M10" s="20"/>
      <c r="N10" s="20"/>
    </row>
  </sheetData>
  <autoFilter ref="A1:N10"/>
  <conditionalFormatting sqref="L2:L10">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10"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23.85" hidden="false" customHeight="false" outlineLevel="0" collapsed="false">
      <c r="A2" s="18" t="s">
        <v>941</v>
      </c>
      <c r="B2" s="16" t="s">
        <v>942</v>
      </c>
      <c r="C2" s="16" t="s">
        <v>943</v>
      </c>
      <c r="D2" s="16" t="s">
        <v>944</v>
      </c>
      <c r="E2" s="16" t="s">
        <v>945</v>
      </c>
      <c r="F2" s="16" t="s">
        <v>946</v>
      </c>
      <c r="G2" s="16" t="s">
        <v>947</v>
      </c>
      <c r="H2" s="16" t="s">
        <v>897</v>
      </c>
      <c r="I2" s="16" t="s">
        <v>507</v>
      </c>
      <c r="J2" s="16" t="s">
        <v>412</v>
      </c>
      <c r="K2" s="19" t="n">
        <v>0</v>
      </c>
      <c r="L2" s="20" t="s">
        <v>308</v>
      </c>
      <c r="M2" s="20"/>
      <c r="N2" s="20"/>
    </row>
    <row r="3" customFormat="false" ht="23.85" hidden="false" customHeight="false" outlineLevel="0" collapsed="false">
      <c r="A3" s="18" t="s">
        <v>948</v>
      </c>
      <c r="B3" s="16" t="s">
        <v>949</v>
      </c>
      <c r="C3" s="16" t="s">
        <v>950</v>
      </c>
      <c r="D3" s="16" t="s">
        <v>63</v>
      </c>
      <c r="E3" s="16" t="s">
        <v>64</v>
      </c>
      <c r="F3" s="16" t="s">
        <v>946</v>
      </c>
      <c r="G3" s="16" t="s">
        <v>951</v>
      </c>
      <c r="H3" s="16" t="s">
        <v>897</v>
      </c>
      <c r="I3" s="16" t="s">
        <v>507</v>
      </c>
      <c r="J3" s="16" t="s">
        <v>412</v>
      </c>
      <c r="K3" s="19" t="n">
        <v>0</v>
      </c>
      <c r="L3" s="20" t="s">
        <v>308</v>
      </c>
      <c r="M3" s="20"/>
      <c r="N3" s="20"/>
    </row>
    <row r="4" customFormat="false" ht="23.85" hidden="false" customHeight="false" outlineLevel="0" collapsed="false">
      <c r="A4" s="18" t="s">
        <v>952</v>
      </c>
      <c r="B4" s="16" t="s">
        <v>953</v>
      </c>
      <c r="C4" s="16" t="s">
        <v>954</v>
      </c>
      <c r="D4" s="16" t="s">
        <v>955</v>
      </c>
      <c r="E4" s="16" t="s">
        <v>956</v>
      </c>
      <c r="F4" s="16" t="s">
        <v>946</v>
      </c>
      <c r="G4" s="16" t="s">
        <v>957</v>
      </c>
      <c r="H4" s="16" t="s">
        <v>897</v>
      </c>
      <c r="I4" s="16" t="s">
        <v>507</v>
      </c>
      <c r="J4" s="16" t="s">
        <v>412</v>
      </c>
      <c r="K4" s="19" t="n">
        <v>0</v>
      </c>
      <c r="L4" s="20" t="s">
        <v>308</v>
      </c>
      <c r="M4" s="20"/>
      <c r="N4" s="20"/>
    </row>
    <row r="5" customFormat="false" ht="46.25" hidden="false" customHeight="false" outlineLevel="0" collapsed="false">
      <c r="A5" s="18" t="s">
        <v>958</v>
      </c>
      <c r="B5" s="16" t="s">
        <v>959</v>
      </c>
      <c r="C5" s="16" t="s">
        <v>960</v>
      </c>
      <c r="D5" s="16" t="s">
        <v>961</v>
      </c>
      <c r="E5" s="16" t="s">
        <v>962</v>
      </c>
      <c r="F5" s="16" t="s">
        <v>946</v>
      </c>
      <c r="G5" s="16" t="s">
        <v>963</v>
      </c>
      <c r="H5" s="16" t="s">
        <v>897</v>
      </c>
      <c r="I5" s="16" t="s">
        <v>507</v>
      </c>
      <c r="J5" s="16" t="s">
        <v>412</v>
      </c>
      <c r="K5" s="19" t="n">
        <v>0</v>
      </c>
      <c r="L5" s="20" t="s">
        <v>308</v>
      </c>
      <c r="M5" s="20"/>
      <c r="N5" s="20"/>
    </row>
    <row r="6" customFormat="false" ht="46.25" hidden="false" customHeight="false" outlineLevel="0" collapsed="false">
      <c r="A6" s="18" t="s">
        <v>964</v>
      </c>
      <c r="B6" s="16" t="s">
        <v>965</v>
      </c>
      <c r="C6" s="16" t="s">
        <v>966</v>
      </c>
      <c r="D6" s="16" t="s">
        <v>967</v>
      </c>
      <c r="E6" s="16" t="s">
        <v>968</v>
      </c>
      <c r="F6" s="16" t="s">
        <v>946</v>
      </c>
      <c r="G6" s="16" t="s">
        <v>969</v>
      </c>
      <c r="H6" s="16" t="s">
        <v>897</v>
      </c>
      <c r="I6" s="16" t="s">
        <v>507</v>
      </c>
      <c r="J6" s="16" t="s">
        <v>412</v>
      </c>
      <c r="K6" s="19" t="n">
        <v>0</v>
      </c>
      <c r="L6" s="20" t="s">
        <v>308</v>
      </c>
      <c r="M6" s="20"/>
      <c r="N6" s="20"/>
    </row>
    <row r="7" customFormat="false" ht="23.85" hidden="false" customHeight="false" outlineLevel="0" collapsed="false">
      <c r="A7" s="18" t="s">
        <v>970</v>
      </c>
      <c r="B7" s="16" t="s">
        <v>971</v>
      </c>
      <c r="C7" s="16" t="s">
        <v>972</v>
      </c>
      <c r="D7" s="16" t="s">
        <v>973</v>
      </c>
      <c r="E7" s="16" t="s">
        <v>974</v>
      </c>
      <c r="F7" s="16" t="s">
        <v>946</v>
      </c>
      <c r="G7" s="16" t="s">
        <v>975</v>
      </c>
      <c r="H7" s="16" t="s">
        <v>897</v>
      </c>
      <c r="I7" s="16" t="s">
        <v>507</v>
      </c>
      <c r="J7" s="16" t="s">
        <v>412</v>
      </c>
      <c r="K7" s="19" t="n">
        <v>0</v>
      </c>
      <c r="L7" s="20" t="s">
        <v>308</v>
      </c>
      <c r="M7" s="20"/>
      <c r="N7" s="20"/>
    </row>
    <row r="8" customFormat="false" ht="23.85" hidden="false" customHeight="false" outlineLevel="0" collapsed="false">
      <c r="A8" s="18" t="s">
        <v>976</v>
      </c>
      <c r="B8" s="16" t="s">
        <v>977</v>
      </c>
      <c r="C8" s="16" t="s">
        <v>978</v>
      </c>
      <c r="D8" s="16" t="s">
        <v>204</v>
      </c>
      <c r="E8" s="16" t="s">
        <v>205</v>
      </c>
      <c r="F8" s="16" t="s">
        <v>946</v>
      </c>
      <c r="G8" s="16" t="s">
        <v>979</v>
      </c>
      <c r="H8" s="16" t="s">
        <v>897</v>
      </c>
      <c r="I8" s="16" t="s">
        <v>507</v>
      </c>
      <c r="J8" s="16" t="s">
        <v>412</v>
      </c>
      <c r="K8" s="19" t="n">
        <v>0</v>
      </c>
      <c r="L8" s="20" t="s">
        <v>308</v>
      </c>
      <c r="M8" s="20"/>
      <c r="N8" s="20"/>
    </row>
    <row r="9" customFormat="false" ht="23.85" hidden="false" customHeight="false" outlineLevel="0" collapsed="false">
      <c r="A9" s="18" t="s">
        <v>980</v>
      </c>
      <c r="B9" s="16" t="s">
        <v>981</v>
      </c>
      <c r="C9" s="16" t="s">
        <v>982</v>
      </c>
      <c r="D9" s="16" t="s">
        <v>136</v>
      </c>
      <c r="E9" s="16" t="s">
        <v>137</v>
      </c>
      <c r="F9" s="16" t="s">
        <v>946</v>
      </c>
      <c r="G9" s="16" t="s">
        <v>983</v>
      </c>
      <c r="H9" s="16" t="s">
        <v>897</v>
      </c>
      <c r="I9" s="16" t="s">
        <v>507</v>
      </c>
      <c r="J9" s="16" t="s">
        <v>412</v>
      </c>
      <c r="K9" s="19" t="n">
        <v>0</v>
      </c>
      <c r="L9" s="20" t="s">
        <v>308</v>
      </c>
      <c r="M9" s="20"/>
      <c r="N9" s="20"/>
    </row>
    <row r="10" customFormat="false" ht="23.85" hidden="false" customHeight="false" outlineLevel="0" collapsed="false">
      <c r="A10" s="18" t="s">
        <v>984</v>
      </c>
      <c r="B10" s="16" t="s">
        <v>985</v>
      </c>
      <c r="C10" s="16" t="s">
        <v>986</v>
      </c>
      <c r="D10" s="16" t="s">
        <v>136</v>
      </c>
      <c r="E10" s="16" t="s">
        <v>137</v>
      </c>
      <c r="F10" s="16" t="s">
        <v>946</v>
      </c>
      <c r="G10" s="16" t="s">
        <v>987</v>
      </c>
      <c r="H10" s="16" t="s">
        <v>897</v>
      </c>
      <c r="I10" s="16" t="s">
        <v>507</v>
      </c>
      <c r="J10" s="16" t="s">
        <v>412</v>
      </c>
      <c r="K10" s="19" t="n">
        <v>0</v>
      </c>
      <c r="L10" s="20" t="s">
        <v>308</v>
      </c>
      <c r="M10" s="20"/>
      <c r="N10" s="20"/>
    </row>
    <row r="11" customFormat="false" ht="23.85" hidden="false" customHeight="false" outlineLevel="0" collapsed="false">
      <c r="A11" s="18" t="s">
        <v>988</v>
      </c>
      <c r="B11" s="16" t="s">
        <v>989</v>
      </c>
      <c r="C11" s="16" t="s">
        <v>990</v>
      </c>
      <c r="D11" s="16" t="s">
        <v>991</v>
      </c>
      <c r="E11" s="16" t="s">
        <v>992</v>
      </c>
      <c r="F11" s="16" t="s">
        <v>946</v>
      </c>
      <c r="G11" s="16" t="s">
        <v>993</v>
      </c>
      <c r="H11" s="16" t="s">
        <v>897</v>
      </c>
      <c r="I11" s="16" t="s">
        <v>507</v>
      </c>
      <c r="J11" s="16" t="s">
        <v>412</v>
      </c>
      <c r="K11" s="19" t="n">
        <v>0</v>
      </c>
      <c r="L11" s="20" t="s">
        <v>308</v>
      </c>
      <c r="M11" s="20"/>
      <c r="N11" s="20"/>
    </row>
    <row r="12" customFormat="false" ht="23.85" hidden="false" customHeight="false" outlineLevel="0" collapsed="false">
      <c r="A12" s="18" t="s">
        <v>994</v>
      </c>
      <c r="B12" s="16" t="s">
        <v>995</v>
      </c>
      <c r="C12" s="16" t="s">
        <v>996</v>
      </c>
      <c r="D12" s="16" t="s">
        <v>997</v>
      </c>
      <c r="E12" s="16" t="s">
        <v>998</v>
      </c>
      <c r="F12" s="16" t="s">
        <v>946</v>
      </c>
      <c r="G12" s="16" t="s">
        <v>999</v>
      </c>
      <c r="H12" s="16" t="s">
        <v>897</v>
      </c>
      <c r="I12" s="16" t="s">
        <v>507</v>
      </c>
      <c r="J12" s="16" t="s">
        <v>412</v>
      </c>
      <c r="K12" s="19" t="n">
        <v>0</v>
      </c>
      <c r="L12" s="20" t="s">
        <v>308</v>
      </c>
      <c r="M12" s="20"/>
      <c r="N12" s="20"/>
    </row>
    <row r="13" customFormat="false" ht="23.85" hidden="false" customHeight="false" outlineLevel="0" collapsed="false">
      <c r="A13" s="18" t="s">
        <v>1000</v>
      </c>
      <c r="B13" s="16" t="s">
        <v>1001</v>
      </c>
      <c r="C13" s="16" t="s">
        <v>1002</v>
      </c>
      <c r="D13" s="16" t="s">
        <v>1003</v>
      </c>
      <c r="E13" s="16" t="s">
        <v>1004</v>
      </c>
      <c r="F13" s="16" t="s">
        <v>946</v>
      </c>
      <c r="G13" s="16" t="s">
        <v>1005</v>
      </c>
      <c r="H13" s="16" t="s">
        <v>897</v>
      </c>
      <c r="I13" s="16" t="s">
        <v>507</v>
      </c>
      <c r="J13" s="16" t="s">
        <v>412</v>
      </c>
      <c r="K13" s="19" t="n">
        <v>0</v>
      </c>
      <c r="L13" s="20" t="s">
        <v>308</v>
      </c>
      <c r="M13" s="20"/>
      <c r="N13" s="20"/>
    </row>
    <row r="14" customFormat="false" ht="23.85" hidden="false" customHeight="false" outlineLevel="0" collapsed="false">
      <c r="A14" s="18" t="s">
        <v>1006</v>
      </c>
      <c r="B14" s="16" t="s">
        <v>1007</v>
      </c>
      <c r="C14" s="16" t="s">
        <v>1008</v>
      </c>
      <c r="D14" s="16" t="s">
        <v>209</v>
      </c>
      <c r="E14" s="16" t="s">
        <v>210</v>
      </c>
      <c r="F14" s="16" t="s">
        <v>946</v>
      </c>
      <c r="G14" s="16" t="s">
        <v>1009</v>
      </c>
      <c r="H14" s="16" t="s">
        <v>897</v>
      </c>
      <c r="I14" s="16" t="s">
        <v>507</v>
      </c>
      <c r="J14" s="16" t="s">
        <v>412</v>
      </c>
      <c r="K14" s="19" t="n">
        <v>0</v>
      </c>
      <c r="L14" s="20" t="s">
        <v>308</v>
      </c>
      <c r="M14" s="20"/>
      <c r="N14" s="20"/>
    </row>
    <row r="15" customFormat="false" ht="23.85" hidden="false" customHeight="false" outlineLevel="0" collapsed="false">
      <c r="A15" s="18" t="s">
        <v>1010</v>
      </c>
      <c r="B15" s="16" t="s">
        <v>1011</v>
      </c>
      <c r="C15" s="16" t="s">
        <v>1012</v>
      </c>
      <c r="D15" s="16" t="s">
        <v>116</v>
      </c>
      <c r="E15" s="16" t="s">
        <v>117</v>
      </c>
      <c r="F15" s="16" t="s">
        <v>946</v>
      </c>
      <c r="G15" s="16" t="s">
        <v>1013</v>
      </c>
      <c r="H15" s="16" t="s">
        <v>897</v>
      </c>
      <c r="I15" s="16" t="s">
        <v>507</v>
      </c>
      <c r="J15" s="16" t="s">
        <v>412</v>
      </c>
      <c r="K15" s="19" t="n">
        <v>0</v>
      </c>
      <c r="L15" s="20" t="s">
        <v>308</v>
      </c>
      <c r="M15" s="20"/>
      <c r="N15" s="20"/>
    </row>
    <row r="16" customFormat="false" ht="23.85" hidden="false" customHeight="false" outlineLevel="0" collapsed="false">
      <c r="A16" s="18" t="s">
        <v>1014</v>
      </c>
      <c r="B16" s="16" t="s">
        <v>1015</v>
      </c>
      <c r="C16" s="16" t="s">
        <v>1016</v>
      </c>
      <c r="D16" s="16" t="s">
        <v>1017</v>
      </c>
      <c r="E16" s="16" t="s">
        <v>1018</v>
      </c>
      <c r="F16" s="16" t="s">
        <v>946</v>
      </c>
      <c r="G16" s="16" t="s">
        <v>1019</v>
      </c>
      <c r="H16" s="16" t="s">
        <v>897</v>
      </c>
      <c r="I16" s="16" t="s">
        <v>507</v>
      </c>
      <c r="J16" s="16" t="s">
        <v>412</v>
      </c>
      <c r="K16" s="19" t="n">
        <v>0</v>
      </c>
      <c r="L16" s="20" t="s">
        <v>308</v>
      </c>
      <c r="M16" s="20"/>
      <c r="N16" s="20"/>
    </row>
    <row r="17" customFormat="false" ht="23.85" hidden="false" customHeight="false" outlineLevel="0" collapsed="false">
      <c r="A17" s="18" t="s">
        <v>1020</v>
      </c>
      <c r="B17" s="16" t="s">
        <v>1021</v>
      </c>
      <c r="C17" s="16" t="s">
        <v>1022</v>
      </c>
      <c r="D17" s="16" t="s">
        <v>1023</v>
      </c>
      <c r="E17" s="16" t="s">
        <v>1024</v>
      </c>
      <c r="F17" s="16" t="s">
        <v>946</v>
      </c>
      <c r="G17" s="16" t="s">
        <v>1025</v>
      </c>
      <c r="H17" s="16" t="s">
        <v>897</v>
      </c>
      <c r="I17" s="16" t="s">
        <v>507</v>
      </c>
      <c r="J17" s="16" t="s">
        <v>412</v>
      </c>
      <c r="K17" s="19" t="n">
        <v>0</v>
      </c>
      <c r="L17" s="20" t="s">
        <v>308</v>
      </c>
      <c r="M17" s="20"/>
      <c r="N17" s="20"/>
    </row>
    <row r="18" customFormat="false" ht="35.05" hidden="false" customHeight="false" outlineLevel="0" collapsed="false">
      <c r="A18" s="18" t="s">
        <v>1026</v>
      </c>
      <c r="B18" s="16" t="s">
        <v>1027</v>
      </c>
      <c r="C18" s="16" t="s">
        <v>1028</v>
      </c>
      <c r="D18" s="16" t="s">
        <v>1029</v>
      </c>
      <c r="E18" s="16" t="s">
        <v>1030</v>
      </c>
      <c r="F18" s="16" t="s">
        <v>946</v>
      </c>
      <c r="G18" s="16" t="s">
        <v>1031</v>
      </c>
      <c r="H18" s="16" t="s">
        <v>897</v>
      </c>
      <c r="I18" s="16" t="s">
        <v>507</v>
      </c>
      <c r="J18" s="16" t="s">
        <v>412</v>
      </c>
      <c r="K18" s="19" t="n">
        <v>0</v>
      </c>
      <c r="L18" s="20" t="s">
        <v>308</v>
      </c>
      <c r="M18" s="20"/>
      <c r="N18" s="20"/>
    </row>
    <row r="19" customFormat="false" ht="23.85" hidden="false" customHeight="false" outlineLevel="0" collapsed="false">
      <c r="A19" s="18" t="s">
        <v>1032</v>
      </c>
      <c r="B19" s="16" t="s">
        <v>1033</v>
      </c>
      <c r="C19" s="16" t="s">
        <v>1034</v>
      </c>
      <c r="D19" s="16" t="s">
        <v>1035</v>
      </c>
      <c r="E19" s="16" t="s">
        <v>1036</v>
      </c>
      <c r="F19" s="16" t="s">
        <v>946</v>
      </c>
      <c r="G19" s="16" t="s">
        <v>1037</v>
      </c>
      <c r="H19" s="16" t="s">
        <v>897</v>
      </c>
      <c r="I19" s="16" t="s">
        <v>507</v>
      </c>
      <c r="J19" s="16" t="s">
        <v>412</v>
      </c>
      <c r="K19" s="19" t="n">
        <v>0</v>
      </c>
      <c r="L19" s="20" t="s">
        <v>308</v>
      </c>
      <c r="M19" s="20"/>
      <c r="N19" s="20"/>
    </row>
    <row r="20" customFormat="false" ht="35.05" hidden="false" customHeight="false" outlineLevel="0" collapsed="false">
      <c r="A20" s="18" t="s">
        <v>1038</v>
      </c>
      <c r="B20" s="16" t="s">
        <v>1039</v>
      </c>
      <c r="C20" s="16" t="s">
        <v>1040</v>
      </c>
      <c r="D20" s="16" t="s">
        <v>1041</v>
      </c>
      <c r="E20" s="16" t="s">
        <v>1042</v>
      </c>
      <c r="F20" s="16" t="s">
        <v>946</v>
      </c>
      <c r="G20" s="16" t="s">
        <v>1043</v>
      </c>
      <c r="H20" s="16" t="s">
        <v>897</v>
      </c>
      <c r="I20" s="16" t="s">
        <v>507</v>
      </c>
      <c r="J20" s="16" t="s">
        <v>412</v>
      </c>
      <c r="K20" s="19" t="n">
        <v>0</v>
      </c>
      <c r="L20" s="20" t="s">
        <v>308</v>
      </c>
      <c r="M20" s="20"/>
      <c r="N20" s="20"/>
    </row>
    <row r="21" customFormat="false" ht="23.85" hidden="false" customHeight="false" outlineLevel="0" collapsed="false">
      <c r="A21" s="18" t="s">
        <v>1044</v>
      </c>
      <c r="B21" s="16" t="s">
        <v>1045</v>
      </c>
      <c r="C21" s="16" t="s">
        <v>1046</v>
      </c>
      <c r="D21" s="16" t="s">
        <v>99</v>
      </c>
      <c r="E21" s="16" t="s">
        <v>100</v>
      </c>
      <c r="F21" s="16" t="s">
        <v>946</v>
      </c>
      <c r="G21" s="16" t="s">
        <v>1047</v>
      </c>
      <c r="H21" s="16" t="s">
        <v>897</v>
      </c>
      <c r="I21" s="16" t="s">
        <v>507</v>
      </c>
      <c r="J21" s="16" t="s">
        <v>412</v>
      </c>
      <c r="K21" s="19" t="n">
        <v>0</v>
      </c>
      <c r="L21" s="20" t="s">
        <v>308</v>
      </c>
      <c r="M21" s="20"/>
      <c r="N21" s="20"/>
    </row>
    <row r="22" customFormat="false" ht="23.85" hidden="false" customHeight="false" outlineLevel="0" collapsed="false">
      <c r="A22" s="18" t="s">
        <v>1048</v>
      </c>
      <c r="B22" s="16" t="s">
        <v>1049</v>
      </c>
      <c r="C22" s="16" t="s">
        <v>1050</v>
      </c>
      <c r="D22" s="16" t="s">
        <v>214</v>
      </c>
      <c r="E22" s="16" t="s">
        <v>215</v>
      </c>
      <c r="F22" s="16" t="s">
        <v>946</v>
      </c>
      <c r="G22" s="16" t="s">
        <v>1051</v>
      </c>
      <c r="H22" s="16" t="s">
        <v>897</v>
      </c>
      <c r="I22" s="16" t="s">
        <v>507</v>
      </c>
      <c r="J22" s="16" t="s">
        <v>412</v>
      </c>
      <c r="K22" s="19" t="n">
        <v>0</v>
      </c>
      <c r="L22" s="20" t="s">
        <v>308</v>
      </c>
      <c r="M22" s="20"/>
      <c r="N22" s="20"/>
    </row>
    <row r="23" customFormat="false" ht="57.45" hidden="false" customHeight="false" outlineLevel="0" collapsed="false">
      <c r="A23" s="18" t="s">
        <v>1052</v>
      </c>
      <c r="B23" s="16" t="s">
        <v>1053</v>
      </c>
      <c r="C23" s="16" t="s">
        <v>1054</v>
      </c>
      <c r="D23" s="16" t="s">
        <v>1055</v>
      </c>
      <c r="E23" s="16" t="s">
        <v>1056</v>
      </c>
      <c r="F23" s="16" t="s">
        <v>946</v>
      </c>
      <c r="G23" s="16" t="s">
        <v>1057</v>
      </c>
      <c r="H23" s="16" t="s">
        <v>1058</v>
      </c>
      <c r="I23" s="16" t="s">
        <v>507</v>
      </c>
      <c r="J23" s="16" t="s">
        <v>1059</v>
      </c>
      <c r="K23" s="19" t="n">
        <v>0</v>
      </c>
      <c r="L23" s="20" t="s">
        <v>308</v>
      </c>
      <c r="M23" s="20"/>
      <c r="N23" s="20"/>
    </row>
  </sheetData>
  <autoFilter ref="A1:N23"/>
  <conditionalFormatting sqref="L2:L23">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23"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8"/>
    <col collapsed="false" customWidth="true" hidden="false" outlineLevel="0" max="8" min="8" style="0" width="38"/>
    <col collapsed="false" customWidth="true" hidden="false" outlineLevel="0" max="9" min="9" style="0" width="10"/>
    <col collapsed="false" customWidth="true" hidden="false" outlineLevel="0" max="10" min="10" style="0" width="28"/>
    <col collapsed="false" customWidth="true" hidden="false" outlineLevel="0" max="11" min="11" style="0" width="8"/>
    <col collapsed="false" customWidth="true" hidden="false" outlineLevel="0" max="12" min="12" style="0" width="16"/>
    <col collapsed="false" customWidth="true" hidden="false" outlineLevel="0" max="13" min="13" style="0" width="34"/>
    <col collapsed="false" customWidth="true" hidden="false" outlineLevel="0" max="14" min="14" style="0" width="24"/>
  </cols>
  <sheetData>
    <row r="1" customFormat="false" ht="23.85" hidden="false" customHeight="false" outlineLevel="0" collapsed="false">
      <c r="A1" s="17" t="s">
        <v>286</v>
      </c>
      <c r="B1" s="17" t="s">
        <v>287</v>
      </c>
      <c r="C1" s="17" t="s">
        <v>288</v>
      </c>
      <c r="D1" s="17" t="s">
        <v>289</v>
      </c>
      <c r="E1" s="17" t="s">
        <v>290</v>
      </c>
      <c r="F1" s="17" t="s">
        <v>291</v>
      </c>
      <c r="G1" s="17" t="s">
        <v>292</v>
      </c>
      <c r="H1" s="17" t="s">
        <v>293</v>
      </c>
      <c r="I1" s="17" t="s">
        <v>294</v>
      </c>
      <c r="J1" s="17" t="s">
        <v>295</v>
      </c>
      <c r="K1" s="17" t="s">
        <v>296</v>
      </c>
      <c r="L1" s="17" t="s">
        <v>297</v>
      </c>
      <c r="M1" s="17" t="s">
        <v>298</v>
      </c>
      <c r="N1" s="17" t="s">
        <v>299</v>
      </c>
    </row>
    <row r="2" customFormat="false" ht="46.25" hidden="false" customHeight="false" outlineLevel="0" collapsed="false">
      <c r="A2" s="18" t="s">
        <v>45</v>
      </c>
      <c r="B2" s="16" t="s">
        <v>48</v>
      </c>
      <c r="C2" s="16" t="s">
        <v>1060</v>
      </c>
      <c r="D2" s="16" t="s">
        <v>45</v>
      </c>
      <c r="E2" s="16" t="s">
        <v>46</v>
      </c>
      <c r="F2" s="16" t="s">
        <v>1061</v>
      </c>
      <c r="G2" s="16" t="s">
        <v>1062</v>
      </c>
      <c r="H2" s="16" t="s">
        <v>1063</v>
      </c>
      <c r="I2" s="16" t="s">
        <v>507</v>
      </c>
      <c r="J2" s="16" t="s">
        <v>412</v>
      </c>
      <c r="K2" s="19" t="n">
        <v>0</v>
      </c>
      <c r="L2" s="20" t="s">
        <v>308</v>
      </c>
      <c r="M2" s="20"/>
      <c r="N2" s="20" t="s">
        <v>1064</v>
      </c>
    </row>
    <row r="3" customFormat="false" ht="57.45" hidden="false" customHeight="false" outlineLevel="0" collapsed="false">
      <c r="A3" s="18" t="s">
        <v>52</v>
      </c>
      <c r="B3" s="16" t="s">
        <v>1065</v>
      </c>
      <c r="C3" s="16" t="s">
        <v>1066</v>
      </c>
      <c r="D3" s="16" t="s">
        <v>52</v>
      </c>
      <c r="E3" s="16" t="s">
        <v>53</v>
      </c>
      <c r="F3" s="16" t="s">
        <v>1061</v>
      </c>
      <c r="G3" s="16" t="s">
        <v>1067</v>
      </c>
      <c r="H3" s="16" t="s">
        <v>1063</v>
      </c>
      <c r="I3" s="16" t="s">
        <v>507</v>
      </c>
      <c r="J3" s="16" t="s">
        <v>412</v>
      </c>
      <c r="K3" s="19" t="n">
        <v>0</v>
      </c>
      <c r="L3" s="20" t="s">
        <v>308</v>
      </c>
      <c r="M3" s="20"/>
      <c r="N3" s="20" t="s">
        <v>1068</v>
      </c>
    </row>
    <row r="4" customFormat="false" ht="35.05" hidden="false" customHeight="false" outlineLevel="0" collapsed="false">
      <c r="A4" s="18" t="s">
        <v>58</v>
      </c>
      <c r="B4" s="16" t="s">
        <v>48</v>
      </c>
      <c r="C4" s="16" t="s">
        <v>1069</v>
      </c>
      <c r="D4" s="16" t="s">
        <v>58</v>
      </c>
      <c r="E4" s="16" t="s">
        <v>59</v>
      </c>
      <c r="F4" s="16" t="s">
        <v>1061</v>
      </c>
      <c r="G4" s="16" t="s">
        <v>1070</v>
      </c>
      <c r="H4" s="16" t="s">
        <v>1063</v>
      </c>
      <c r="I4" s="16" t="s">
        <v>507</v>
      </c>
      <c r="J4" s="16" t="s">
        <v>412</v>
      </c>
      <c r="K4" s="19" t="n">
        <v>0</v>
      </c>
      <c r="L4" s="20" t="s">
        <v>308</v>
      </c>
      <c r="M4" s="20"/>
      <c r="N4" s="20" t="s">
        <v>1071</v>
      </c>
    </row>
    <row r="5" customFormat="false" ht="57.45" hidden="false" customHeight="false" outlineLevel="0" collapsed="false">
      <c r="A5" s="18" t="s">
        <v>63</v>
      </c>
      <c r="B5" s="16" t="s">
        <v>1065</v>
      </c>
      <c r="C5" s="16" t="s">
        <v>1072</v>
      </c>
      <c r="D5" s="16" t="s">
        <v>63</v>
      </c>
      <c r="E5" s="16" t="s">
        <v>64</v>
      </c>
      <c r="F5" s="16" t="s">
        <v>1061</v>
      </c>
      <c r="G5" s="16" t="s">
        <v>1073</v>
      </c>
      <c r="H5" s="16" t="s">
        <v>1063</v>
      </c>
      <c r="I5" s="16" t="s">
        <v>507</v>
      </c>
      <c r="J5" s="16" t="s">
        <v>412</v>
      </c>
      <c r="K5" s="19" t="n">
        <v>0</v>
      </c>
      <c r="L5" s="20" t="s">
        <v>308</v>
      </c>
      <c r="M5" s="20"/>
      <c r="N5" s="20" t="s">
        <v>1074</v>
      </c>
    </row>
    <row r="6" customFormat="false" ht="46.25" hidden="false" customHeight="false" outlineLevel="0" collapsed="false">
      <c r="A6" s="18" t="s">
        <v>68</v>
      </c>
      <c r="B6" s="16" t="s">
        <v>48</v>
      </c>
      <c r="C6" s="16" t="s">
        <v>1075</v>
      </c>
      <c r="D6" s="16" t="s">
        <v>68</v>
      </c>
      <c r="E6" s="16" t="s">
        <v>69</v>
      </c>
      <c r="F6" s="16" t="s">
        <v>1061</v>
      </c>
      <c r="G6" s="16" t="s">
        <v>1076</v>
      </c>
      <c r="H6" s="16" t="s">
        <v>1063</v>
      </c>
      <c r="I6" s="16" t="s">
        <v>507</v>
      </c>
      <c r="J6" s="16" t="s">
        <v>412</v>
      </c>
      <c r="K6" s="19" t="n">
        <v>0</v>
      </c>
      <c r="L6" s="20" t="s">
        <v>308</v>
      </c>
      <c r="M6" s="20"/>
      <c r="N6" s="20" t="s">
        <v>1077</v>
      </c>
    </row>
    <row r="7" customFormat="false" ht="35.05" hidden="false" customHeight="false" outlineLevel="0" collapsed="false">
      <c r="A7" s="18" t="s">
        <v>73</v>
      </c>
      <c r="B7" s="16" t="s">
        <v>1065</v>
      </c>
      <c r="C7" s="16" t="s">
        <v>1078</v>
      </c>
      <c r="D7" s="16" t="s">
        <v>73</v>
      </c>
      <c r="E7" s="16" t="s">
        <v>74</v>
      </c>
      <c r="F7" s="16" t="s">
        <v>1061</v>
      </c>
      <c r="G7" s="16" t="s">
        <v>1079</v>
      </c>
      <c r="H7" s="16" t="s">
        <v>1063</v>
      </c>
      <c r="I7" s="16" t="s">
        <v>507</v>
      </c>
      <c r="J7" s="16" t="s">
        <v>412</v>
      </c>
      <c r="K7" s="19" t="n">
        <v>0</v>
      </c>
      <c r="L7" s="20" t="s">
        <v>308</v>
      </c>
      <c r="M7" s="20"/>
      <c r="N7" s="20" t="s">
        <v>1080</v>
      </c>
    </row>
    <row r="8" customFormat="false" ht="46.25" hidden="false" customHeight="false" outlineLevel="0" collapsed="false">
      <c r="A8" s="18" t="s">
        <v>78</v>
      </c>
      <c r="B8" s="16" t="s">
        <v>48</v>
      </c>
      <c r="C8" s="16" t="s">
        <v>1081</v>
      </c>
      <c r="D8" s="16" t="s">
        <v>78</v>
      </c>
      <c r="E8" s="16" t="s">
        <v>79</v>
      </c>
      <c r="F8" s="16" t="s">
        <v>1061</v>
      </c>
      <c r="G8" s="16" t="s">
        <v>1082</v>
      </c>
      <c r="H8" s="16" t="s">
        <v>1063</v>
      </c>
      <c r="I8" s="16" t="s">
        <v>507</v>
      </c>
      <c r="J8" s="16" t="s">
        <v>412</v>
      </c>
      <c r="K8" s="19" t="n">
        <v>0</v>
      </c>
      <c r="L8" s="20" t="s">
        <v>308</v>
      </c>
      <c r="M8" s="20"/>
      <c r="N8" s="20" t="s">
        <v>1083</v>
      </c>
    </row>
    <row r="9" customFormat="false" ht="46.25" hidden="false" customHeight="false" outlineLevel="0" collapsed="false">
      <c r="A9" s="18" t="s">
        <v>83</v>
      </c>
      <c r="B9" s="16" t="s">
        <v>1065</v>
      </c>
      <c r="C9" s="16" t="s">
        <v>1084</v>
      </c>
      <c r="D9" s="16" t="s">
        <v>83</v>
      </c>
      <c r="E9" s="16" t="s">
        <v>84</v>
      </c>
      <c r="F9" s="16" t="s">
        <v>1061</v>
      </c>
      <c r="G9" s="16" t="s">
        <v>1085</v>
      </c>
      <c r="H9" s="16" t="s">
        <v>1063</v>
      </c>
      <c r="I9" s="16" t="s">
        <v>507</v>
      </c>
      <c r="J9" s="16" t="s">
        <v>412</v>
      </c>
      <c r="K9" s="19" t="n">
        <v>0</v>
      </c>
      <c r="L9" s="20" t="s">
        <v>308</v>
      </c>
      <c r="M9" s="20"/>
      <c r="N9" s="20" t="s">
        <v>1086</v>
      </c>
    </row>
    <row r="10" customFormat="false" ht="46.25" hidden="false" customHeight="false" outlineLevel="0" collapsed="false">
      <c r="A10" s="18" t="s">
        <v>89</v>
      </c>
      <c r="B10" s="16" t="s">
        <v>48</v>
      </c>
      <c r="C10" s="16" t="s">
        <v>1087</v>
      </c>
      <c r="D10" s="16" t="s">
        <v>89</v>
      </c>
      <c r="E10" s="16" t="s">
        <v>90</v>
      </c>
      <c r="F10" s="16" t="s">
        <v>1061</v>
      </c>
      <c r="G10" s="16" t="s">
        <v>1088</v>
      </c>
      <c r="H10" s="16" t="s">
        <v>1063</v>
      </c>
      <c r="I10" s="16" t="s">
        <v>507</v>
      </c>
      <c r="J10" s="16" t="s">
        <v>412</v>
      </c>
      <c r="K10" s="19" t="n">
        <v>0</v>
      </c>
      <c r="L10" s="20" t="s">
        <v>308</v>
      </c>
      <c r="M10" s="20"/>
      <c r="N10" s="20" t="s">
        <v>1089</v>
      </c>
    </row>
    <row r="11" customFormat="false" ht="79.85" hidden="false" customHeight="false" outlineLevel="0" collapsed="false">
      <c r="A11" s="18" t="s">
        <v>94</v>
      </c>
      <c r="B11" s="16" t="s">
        <v>1065</v>
      </c>
      <c r="C11" s="16" t="s">
        <v>1090</v>
      </c>
      <c r="D11" s="16" t="s">
        <v>94</v>
      </c>
      <c r="E11" s="16" t="s">
        <v>95</v>
      </c>
      <c r="F11" s="16" t="s">
        <v>1061</v>
      </c>
      <c r="G11" s="16" t="s">
        <v>1091</v>
      </c>
      <c r="H11" s="16" t="s">
        <v>1063</v>
      </c>
      <c r="I11" s="16" t="s">
        <v>507</v>
      </c>
      <c r="J11" s="16" t="s">
        <v>412</v>
      </c>
      <c r="K11" s="19" t="n">
        <v>0</v>
      </c>
      <c r="L11" s="20" t="s">
        <v>308</v>
      </c>
      <c r="M11" s="20"/>
      <c r="N11" s="20" t="s">
        <v>1092</v>
      </c>
    </row>
    <row r="12" customFormat="false" ht="68.65" hidden="false" customHeight="false" outlineLevel="0" collapsed="false">
      <c r="A12" s="18" t="s">
        <v>99</v>
      </c>
      <c r="B12" s="16" t="s">
        <v>48</v>
      </c>
      <c r="C12" s="16" t="s">
        <v>1093</v>
      </c>
      <c r="D12" s="16" t="s">
        <v>99</v>
      </c>
      <c r="E12" s="16" t="s">
        <v>100</v>
      </c>
      <c r="F12" s="16" t="s">
        <v>1061</v>
      </c>
      <c r="G12" s="16" t="s">
        <v>1094</v>
      </c>
      <c r="H12" s="16" t="s">
        <v>1063</v>
      </c>
      <c r="I12" s="16" t="s">
        <v>507</v>
      </c>
      <c r="J12" s="16" t="s">
        <v>412</v>
      </c>
      <c r="K12" s="19" t="n">
        <v>0</v>
      </c>
      <c r="L12" s="20" t="s">
        <v>308</v>
      </c>
      <c r="M12" s="20"/>
      <c r="N12" s="20" t="s">
        <v>1095</v>
      </c>
    </row>
    <row r="13" customFormat="false" ht="46.25" hidden="false" customHeight="false" outlineLevel="0" collapsed="false">
      <c r="A13" s="18" t="s">
        <v>104</v>
      </c>
      <c r="B13" s="16" t="s">
        <v>1065</v>
      </c>
      <c r="C13" s="16" t="s">
        <v>1096</v>
      </c>
      <c r="D13" s="16" t="s">
        <v>104</v>
      </c>
      <c r="E13" s="16" t="s">
        <v>105</v>
      </c>
      <c r="F13" s="16" t="s">
        <v>1061</v>
      </c>
      <c r="G13" s="16" t="s">
        <v>1097</v>
      </c>
      <c r="H13" s="16" t="s">
        <v>1063</v>
      </c>
      <c r="I13" s="16" t="s">
        <v>507</v>
      </c>
      <c r="J13" s="16" t="s">
        <v>412</v>
      </c>
      <c r="K13" s="19" t="n">
        <v>0</v>
      </c>
      <c r="L13" s="20" t="s">
        <v>308</v>
      </c>
      <c r="M13" s="20"/>
      <c r="N13" s="20" t="s">
        <v>1098</v>
      </c>
    </row>
    <row r="14" customFormat="false" ht="57.45" hidden="false" customHeight="false" outlineLevel="0" collapsed="false">
      <c r="A14" s="18" t="s">
        <v>110</v>
      </c>
      <c r="B14" s="16" t="s">
        <v>48</v>
      </c>
      <c r="C14" s="16" t="s">
        <v>1099</v>
      </c>
      <c r="D14" s="16" t="s">
        <v>110</v>
      </c>
      <c r="E14" s="16" t="s">
        <v>111</v>
      </c>
      <c r="F14" s="16" t="s">
        <v>1061</v>
      </c>
      <c r="G14" s="16" t="s">
        <v>1100</v>
      </c>
      <c r="H14" s="16" t="s">
        <v>1063</v>
      </c>
      <c r="I14" s="16" t="s">
        <v>507</v>
      </c>
      <c r="J14" s="16" t="s">
        <v>412</v>
      </c>
      <c r="K14" s="19" t="n">
        <v>0</v>
      </c>
      <c r="L14" s="20" t="s">
        <v>308</v>
      </c>
      <c r="M14" s="20"/>
      <c r="N14" s="20" t="s">
        <v>1101</v>
      </c>
    </row>
    <row r="15" customFormat="false" ht="46.25" hidden="false" customHeight="false" outlineLevel="0" collapsed="false">
      <c r="A15" s="18" t="s">
        <v>116</v>
      </c>
      <c r="B15" s="16" t="s">
        <v>1065</v>
      </c>
      <c r="C15" s="16" t="s">
        <v>1102</v>
      </c>
      <c r="D15" s="16" t="s">
        <v>116</v>
      </c>
      <c r="E15" s="16" t="s">
        <v>117</v>
      </c>
      <c r="F15" s="16" t="s">
        <v>1061</v>
      </c>
      <c r="G15" s="16" t="s">
        <v>1103</v>
      </c>
      <c r="H15" s="16" t="s">
        <v>1063</v>
      </c>
      <c r="I15" s="16" t="s">
        <v>507</v>
      </c>
      <c r="J15" s="16" t="s">
        <v>412</v>
      </c>
      <c r="K15" s="19" t="n">
        <v>0</v>
      </c>
      <c r="L15" s="20" t="s">
        <v>308</v>
      </c>
      <c r="M15" s="20"/>
      <c r="N15" s="20" t="s">
        <v>1104</v>
      </c>
    </row>
    <row r="16" customFormat="false" ht="79.85" hidden="false" customHeight="false" outlineLevel="0" collapsed="false">
      <c r="A16" s="18" t="s">
        <v>121</v>
      </c>
      <c r="B16" s="16" t="s">
        <v>48</v>
      </c>
      <c r="C16" s="16" t="s">
        <v>1105</v>
      </c>
      <c r="D16" s="16" t="s">
        <v>121</v>
      </c>
      <c r="E16" s="16" t="s">
        <v>122</v>
      </c>
      <c r="F16" s="16" t="s">
        <v>1061</v>
      </c>
      <c r="G16" s="16" t="s">
        <v>1106</v>
      </c>
      <c r="H16" s="16" t="s">
        <v>1063</v>
      </c>
      <c r="I16" s="16" t="s">
        <v>507</v>
      </c>
      <c r="J16" s="16" t="s">
        <v>412</v>
      </c>
      <c r="K16" s="19" t="n">
        <v>0</v>
      </c>
      <c r="L16" s="20" t="s">
        <v>308</v>
      </c>
      <c r="M16" s="20"/>
      <c r="N16" s="20" t="s">
        <v>1107</v>
      </c>
    </row>
    <row r="17" customFormat="false" ht="79.85" hidden="false" customHeight="false" outlineLevel="0" collapsed="false">
      <c r="A17" s="18" t="s">
        <v>126</v>
      </c>
      <c r="B17" s="16" t="s">
        <v>1065</v>
      </c>
      <c r="C17" s="16" t="s">
        <v>1108</v>
      </c>
      <c r="D17" s="16" t="s">
        <v>126</v>
      </c>
      <c r="E17" s="16" t="s">
        <v>127</v>
      </c>
      <c r="F17" s="16" t="s">
        <v>1061</v>
      </c>
      <c r="G17" s="16" t="s">
        <v>1109</v>
      </c>
      <c r="H17" s="16" t="s">
        <v>1063</v>
      </c>
      <c r="I17" s="16" t="s">
        <v>507</v>
      </c>
      <c r="J17" s="16" t="s">
        <v>412</v>
      </c>
      <c r="K17" s="19" t="n">
        <v>0</v>
      </c>
      <c r="L17" s="20" t="s">
        <v>308</v>
      </c>
      <c r="M17" s="20"/>
      <c r="N17" s="20" t="s">
        <v>1110</v>
      </c>
    </row>
    <row r="18" customFormat="false" ht="46.25" hidden="false" customHeight="false" outlineLevel="0" collapsed="false">
      <c r="A18" s="18" t="s">
        <v>131</v>
      </c>
      <c r="B18" s="16" t="s">
        <v>48</v>
      </c>
      <c r="C18" s="16" t="s">
        <v>1111</v>
      </c>
      <c r="D18" s="16" t="s">
        <v>131</v>
      </c>
      <c r="E18" s="16" t="s">
        <v>132</v>
      </c>
      <c r="F18" s="16" t="s">
        <v>1061</v>
      </c>
      <c r="G18" s="16" t="s">
        <v>1112</v>
      </c>
      <c r="H18" s="16" t="s">
        <v>1063</v>
      </c>
      <c r="I18" s="16" t="s">
        <v>507</v>
      </c>
      <c r="J18" s="16" t="s">
        <v>412</v>
      </c>
      <c r="K18" s="19" t="n">
        <v>0</v>
      </c>
      <c r="L18" s="20" t="s">
        <v>308</v>
      </c>
      <c r="M18" s="20"/>
      <c r="N18" s="20" t="s">
        <v>1113</v>
      </c>
    </row>
    <row r="19" customFormat="false" ht="57.45" hidden="false" customHeight="false" outlineLevel="0" collapsed="false">
      <c r="A19" s="18" t="s">
        <v>136</v>
      </c>
      <c r="B19" s="16" t="s">
        <v>1065</v>
      </c>
      <c r="C19" s="16" t="s">
        <v>1114</v>
      </c>
      <c r="D19" s="16" t="s">
        <v>136</v>
      </c>
      <c r="E19" s="16" t="s">
        <v>137</v>
      </c>
      <c r="F19" s="16" t="s">
        <v>1061</v>
      </c>
      <c r="G19" s="16" t="s">
        <v>1115</v>
      </c>
      <c r="H19" s="16" t="s">
        <v>1063</v>
      </c>
      <c r="I19" s="16" t="s">
        <v>507</v>
      </c>
      <c r="J19" s="16" t="s">
        <v>412</v>
      </c>
      <c r="K19" s="19" t="n">
        <v>0</v>
      </c>
      <c r="L19" s="20" t="s">
        <v>308</v>
      </c>
      <c r="M19" s="20"/>
      <c r="N19" s="20" t="s">
        <v>1116</v>
      </c>
    </row>
    <row r="20" customFormat="false" ht="68.65" hidden="false" customHeight="false" outlineLevel="0" collapsed="false">
      <c r="A20" s="18" t="s">
        <v>142</v>
      </c>
      <c r="B20" s="16" t="s">
        <v>48</v>
      </c>
      <c r="C20" s="16" t="s">
        <v>1117</v>
      </c>
      <c r="D20" s="16" t="s">
        <v>142</v>
      </c>
      <c r="E20" s="16" t="s">
        <v>143</v>
      </c>
      <c r="F20" s="16" t="s">
        <v>1061</v>
      </c>
      <c r="G20" s="16" t="s">
        <v>1118</v>
      </c>
      <c r="H20" s="16" t="s">
        <v>1063</v>
      </c>
      <c r="I20" s="16" t="s">
        <v>507</v>
      </c>
      <c r="J20" s="16" t="s">
        <v>412</v>
      </c>
      <c r="K20" s="19" t="n">
        <v>0</v>
      </c>
      <c r="L20" s="20" t="s">
        <v>308</v>
      </c>
      <c r="M20" s="20"/>
      <c r="N20" s="20" t="s">
        <v>1119</v>
      </c>
    </row>
    <row r="21" customFormat="false" ht="79.85" hidden="false" customHeight="false" outlineLevel="0" collapsed="false">
      <c r="A21" s="18" t="s">
        <v>147</v>
      </c>
      <c r="B21" s="16" t="s">
        <v>1065</v>
      </c>
      <c r="C21" s="16" t="s">
        <v>1120</v>
      </c>
      <c r="D21" s="16" t="s">
        <v>147</v>
      </c>
      <c r="E21" s="16" t="s">
        <v>148</v>
      </c>
      <c r="F21" s="16" t="s">
        <v>1061</v>
      </c>
      <c r="G21" s="16" t="s">
        <v>1121</v>
      </c>
      <c r="H21" s="16" t="s">
        <v>1063</v>
      </c>
      <c r="I21" s="16" t="s">
        <v>507</v>
      </c>
      <c r="J21" s="16" t="s">
        <v>412</v>
      </c>
      <c r="K21" s="19" t="n">
        <v>0</v>
      </c>
      <c r="L21" s="20" t="s">
        <v>308</v>
      </c>
      <c r="M21" s="20"/>
      <c r="N21" s="20" t="s">
        <v>1122</v>
      </c>
    </row>
    <row r="22" customFormat="false" ht="79.85" hidden="false" customHeight="false" outlineLevel="0" collapsed="false">
      <c r="A22" s="18" t="s">
        <v>152</v>
      </c>
      <c r="B22" s="16" t="s">
        <v>48</v>
      </c>
      <c r="C22" s="16" t="s">
        <v>1123</v>
      </c>
      <c r="D22" s="16" t="s">
        <v>152</v>
      </c>
      <c r="E22" s="16" t="s">
        <v>153</v>
      </c>
      <c r="F22" s="16" t="s">
        <v>1061</v>
      </c>
      <c r="G22" s="16" t="s">
        <v>1124</v>
      </c>
      <c r="H22" s="16" t="s">
        <v>1063</v>
      </c>
      <c r="I22" s="16" t="s">
        <v>507</v>
      </c>
      <c r="J22" s="16" t="s">
        <v>412</v>
      </c>
      <c r="K22" s="19" t="n">
        <v>0</v>
      </c>
      <c r="L22" s="20" t="s">
        <v>308</v>
      </c>
      <c r="M22" s="20"/>
      <c r="N22" s="20" t="s">
        <v>1125</v>
      </c>
    </row>
    <row r="23" customFormat="false" ht="57.45" hidden="false" customHeight="false" outlineLevel="0" collapsed="false">
      <c r="A23" s="18" t="s">
        <v>157</v>
      </c>
      <c r="B23" s="16" t="s">
        <v>1065</v>
      </c>
      <c r="C23" s="16" t="s">
        <v>1126</v>
      </c>
      <c r="D23" s="16" t="s">
        <v>157</v>
      </c>
      <c r="E23" s="16" t="s">
        <v>158</v>
      </c>
      <c r="F23" s="16" t="s">
        <v>1061</v>
      </c>
      <c r="G23" s="16" t="s">
        <v>1127</v>
      </c>
      <c r="H23" s="16" t="s">
        <v>1063</v>
      </c>
      <c r="I23" s="16" t="s">
        <v>507</v>
      </c>
      <c r="J23" s="16" t="s">
        <v>412</v>
      </c>
      <c r="K23" s="19" t="n">
        <v>0</v>
      </c>
      <c r="L23" s="20" t="s">
        <v>308</v>
      </c>
      <c r="M23" s="20"/>
      <c r="N23" s="20" t="s">
        <v>1128</v>
      </c>
    </row>
    <row r="24" customFormat="false" ht="57.45" hidden="false" customHeight="false" outlineLevel="0" collapsed="false">
      <c r="A24" s="18" t="s">
        <v>162</v>
      </c>
      <c r="B24" s="16" t="s">
        <v>48</v>
      </c>
      <c r="C24" s="16" t="s">
        <v>1129</v>
      </c>
      <c r="D24" s="16" t="s">
        <v>162</v>
      </c>
      <c r="E24" s="16" t="s">
        <v>163</v>
      </c>
      <c r="F24" s="16" t="s">
        <v>1061</v>
      </c>
      <c r="G24" s="16" t="s">
        <v>1130</v>
      </c>
      <c r="H24" s="16" t="s">
        <v>1063</v>
      </c>
      <c r="I24" s="16" t="s">
        <v>507</v>
      </c>
      <c r="J24" s="16" t="s">
        <v>412</v>
      </c>
      <c r="K24" s="19" t="n">
        <v>0</v>
      </c>
      <c r="L24" s="20" t="s">
        <v>308</v>
      </c>
      <c r="M24" s="20"/>
      <c r="N24" s="20" t="s">
        <v>1131</v>
      </c>
    </row>
    <row r="25" customFormat="false" ht="57.45" hidden="false" customHeight="false" outlineLevel="0" collapsed="false">
      <c r="A25" s="18" t="s">
        <v>167</v>
      </c>
      <c r="B25" s="16" t="s">
        <v>1065</v>
      </c>
      <c r="C25" s="16" t="s">
        <v>1132</v>
      </c>
      <c r="D25" s="16" t="s">
        <v>167</v>
      </c>
      <c r="E25" s="16" t="s">
        <v>168</v>
      </c>
      <c r="F25" s="16" t="s">
        <v>1061</v>
      </c>
      <c r="G25" s="16" t="s">
        <v>1133</v>
      </c>
      <c r="H25" s="16" t="s">
        <v>1063</v>
      </c>
      <c r="I25" s="16" t="s">
        <v>507</v>
      </c>
      <c r="J25" s="16" t="s">
        <v>412</v>
      </c>
      <c r="K25" s="19" t="n">
        <v>0</v>
      </c>
      <c r="L25" s="20" t="s">
        <v>308</v>
      </c>
      <c r="M25" s="20"/>
      <c r="N25" s="20" t="s">
        <v>1134</v>
      </c>
    </row>
    <row r="26" customFormat="false" ht="57.45" hidden="false" customHeight="false" outlineLevel="0" collapsed="false">
      <c r="A26" s="18" t="s">
        <v>173</v>
      </c>
      <c r="B26" s="16" t="s">
        <v>48</v>
      </c>
      <c r="C26" s="16" t="s">
        <v>1135</v>
      </c>
      <c r="D26" s="16" t="s">
        <v>173</v>
      </c>
      <c r="E26" s="16" t="s">
        <v>174</v>
      </c>
      <c r="F26" s="16" t="s">
        <v>1061</v>
      </c>
      <c r="G26" s="16" t="s">
        <v>1136</v>
      </c>
      <c r="H26" s="16" t="s">
        <v>1063</v>
      </c>
      <c r="I26" s="16" t="s">
        <v>507</v>
      </c>
      <c r="J26" s="16" t="s">
        <v>412</v>
      </c>
      <c r="K26" s="19" t="n">
        <v>0</v>
      </c>
      <c r="L26" s="20" t="s">
        <v>308</v>
      </c>
      <c r="M26" s="20"/>
      <c r="N26" s="20" t="s">
        <v>1137</v>
      </c>
    </row>
    <row r="27" customFormat="false" ht="68.65" hidden="false" customHeight="false" outlineLevel="0" collapsed="false">
      <c r="A27" s="18" t="s">
        <v>178</v>
      </c>
      <c r="B27" s="16" t="s">
        <v>1065</v>
      </c>
      <c r="C27" s="16" t="s">
        <v>1138</v>
      </c>
      <c r="D27" s="16" t="s">
        <v>178</v>
      </c>
      <c r="E27" s="16" t="s">
        <v>179</v>
      </c>
      <c r="F27" s="16" t="s">
        <v>1061</v>
      </c>
      <c r="G27" s="16" t="s">
        <v>1139</v>
      </c>
      <c r="H27" s="16" t="s">
        <v>1063</v>
      </c>
      <c r="I27" s="16" t="s">
        <v>507</v>
      </c>
      <c r="J27" s="16" t="s">
        <v>412</v>
      </c>
      <c r="K27" s="19" t="n">
        <v>0</v>
      </c>
      <c r="L27" s="20" t="s">
        <v>308</v>
      </c>
      <c r="M27" s="20"/>
      <c r="N27" s="20" t="s">
        <v>1140</v>
      </c>
    </row>
    <row r="28" customFormat="false" ht="68.65" hidden="false" customHeight="false" outlineLevel="0" collapsed="false">
      <c r="A28" s="18" t="s">
        <v>183</v>
      </c>
      <c r="B28" s="16" t="s">
        <v>48</v>
      </c>
      <c r="C28" s="16" t="s">
        <v>1141</v>
      </c>
      <c r="D28" s="16" t="s">
        <v>183</v>
      </c>
      <c r="E28" s="16" t="s">
        <v>184</v>
      </c>
      <c r="F28" s="16" t="s">
        <v>1061</v>
      </c>
      <c r="G28" s="16" t="s">
        <v>1142</v>
      </c>
      <c r="H28" s="16" t="s">
        <v>1063</v>
      </c>
      <c r="I28" s="16" t="s">
        <v>507</v>
      </c>
      <c r="J28" s="16" t="s">
        <v>412</v>
      </c>
      <c r="K28" s="19" t="n">
        <v>0</v>
      </c>
      <c r="L28" s="20" t="s">
        <v>308</v>
      </c>
      <c r="M28" s="20"/>
      <c r="N28" s="20" t="s">
        <v>1143</v>
      </c>
    </row>
    <row r="29" customFormat="false" ht="23.85" hidden="false" customHeight="false" outlineLevel="0" collapsed="false">
      <c r="A29" s="18" t="s">
        <v>188</v>
      </c>
      <c r="B29" s="16" t="s">
        <v>1065</v>
      </c>
      <c r="C29" s="16" t="s">
        <v>1144</v>
      </c>
      <c r="D29" s="16" t="s">
        <v>188</v>
      </c>
      <c r="E29" s="16" t="s">
        <v>189</v>
      </c>
      <c r="F29" s="16" t="s">
        <v>1061</v>
      </c>
      <c r="G29" s="16" t="s">
        <v>1145</v>
      </c>
      <c r="H29" s="16" t="s">
        <v>1063</v>
      </c>
      <c r="I29" s="16" t="s">
        <v>507</v>
      </c>
      <c r="J29" s="16" t="s">
        <v>412</v>
      </c>
      <c r="K29" s="19" t="n">
        <v>0</v>
      </c>
      <c r="L29" s="20" t="s">
        <v>308</v>
      </c>
      <c r="M29" s="20"/>
      <c r="N29" s="20" t="s">
        <v>1146</v>
      </c>
    </row>
    <row r="30" customFormat="false" ht="57.45" hidden="false" customHeight="false" outlineLevel="0" collapsed="false">
      <c r="A30" s="18" t="s">
        <v>193</v>
      </c>
      <c r="B30" s="16" t="s">
        <v>48</v>
      </c>
      <c r="C30" s="16" t="s">
        <v>1147</v>
      </c>
      <c r="D30" s="16" t="s">
        <v>193</v>
      </c>
      <c r="E30" s="16" t="s">
        <v>194</v>
      </c>
      <c r="F30" s="16" t="s">
        <v>1061</v>
      </c>
      <c r="G30" s="16" t="s">
        <v>1148</v>
      </c>
      <c r="H30" s="16" t="s">
        <v>1063</v>
      </c>
      <c r="I30" s="16" t="s">
        <v>507</v>
      </c>
      <c r="J30" s="16" t="s">
        <v>412</v>
      </c>
      <c r="K30" s="19" t="n">
        <v>0</v>
      </c>
      <c r="L30" s="20" t="s">
        <v>308</v>
      </c>
      <c r="M30" s="20"/>
      <c r="N30" s="20" t="s">
        <v>1149</v>
      </c>
    </row>
    <row r="31" customFormat="false" ht="79.85" hidden="false" customHeight="false" outlineLevel="0" collapsed="false">
      <c r="A31" s="18" t="s">
        <v>199</v>
      </c>
      <c r="B31" s="16" t="s">
        <v>1065</v>
      </c>
      <c r="C31" s="16" t="s">
        <v>1150</v>
      </c>
      <c r="D31" s="16" t="s">
        <v>199</v>
      </c>
      <c r="E31" s="16" t="s">
        <v>200</v>
      </c>
      <c r="F31" s="16" t="s">
        <v>1061</v>
      </c>
      <c r="G31" s="16" t="s">
        <v>1151</v>
      </c>
      <c r="H31" s="16" t="s">
        <v>1063</v>
      </c>
      <c r="I31" s="16" t="s">
        <v>507</v>
      </c>
      <c r="J31" s="16" t="s">
        <v>412</v>
      </c>
      <c r="K31" s="19" t="n">
        <v>0</v>
      </c>
      <c r="L31" s="20" t="s">
        <v>308</v>
      </c>
      <c r="M31" s="20"/>
      <c r="N31" s="20" t="s">
        <v>1152</v>
      </c>
    </row>
    <row r="32" customFormat="false" ht="57.45" hidden="false" customHeight="false" outlineLevel="0" collapsed="false">
      <c r="A32" s="18" t="s">
        <v>204</v>
      </c>
      <c r="B32" s="16" t="s">
        <v>48</v>
      </c>
      <c r="C32" s="16" t="s">
        <v>1153</v>
      </c>
      <c r="D32" s="16" t="s">
        <v>204</v>
      </c>
      <c r="E32" s="16" t="s">
        <v>205</v>
      </c>
      <c r="F32" s="16" t="s">
        <v>1061</v>
      </c>
      <c r="G32" s="16" t="s">
        <v>1154</v>
      </c>
      <c r="H32" s="16" t="s">
        <v>1063</v>
      </c>
      <c r="I32" s="16" t="s">
        <v>507</v>
      </c>
      <c r="J32" s="16" t="s">
        <v>412</v>
      </c>
      <c r="K32" s="19" t="n">
        <v>0</v>
      </c>
      <c r="L32" s="20" t="s">
        <v>308</v>
      </c>
      <c r="M32" s="20"/>
      <c r="N32" s="20" t="s">
        <v>1155</v>
      </c>
    </row>
    <row r="33" customFormat="false" ht="79.85" hidden="false" customHeight="false" outlineLevel="0" collapsed="false">
      <c r="A33" s="18" t="s">
        <v>209</v>
      </c>
      <c r="B33" s="16" t="s">
        <v>1065</v>
      </c>
      <c r="C33" s="16" t="s">
        <v>1156</v>
      </c>
      <c r="D33" s="16" t="s">
        <v>209</v>
      </c>
      <c r="E33" s="16" t="s">
        <v>210</v>
      </c>
      <c r="F33" s="16" t="s">
        <v>1061</v>
      </c>
      <c r="G33" s="16" t="s">
        <v>1157</v>
      </c>
      <c r="H33" s="16" t="s">
        <v>1063</v>
      </c>
      <c r="I33" s="16" t="s">
        <v>507</v>
      </c>
      <c r="J33" s="16" t="s">
        <v>412</v>
      </c>
      <c r="K33" s="19" t="n">
        <v>0</v>
      </c>
      <c r="L33" s="20" t="s">
        <v>308</v>
      </c>
      <c r="M33" s="20"/>
      <c r="N33" s="20" t="s">
        <v>1158</v>
      </c>
    </row>
    <row r="34" customFormat="false" ht="68.65" hidden="false" customHeight="false" outlineLevel="0" collapsed="false">
      <c r="A34" s="18" t="s">
        <v>214</v>
      </c>
      <c r="B34" s="16" t="s">
        <v>48</v>
      </c>
      <c r="C34" s="16" t="s">
        <v>1159</v>
      </c>
      <c r="D34" s="16" t="s">
        <v>214</v>
      </c>
      <c r="E34" s="16" t="s">
        <v>215</v>
      </c>
      <c r="F34" s="16" t="s">
        <v>1061</v>
      </c>
      <c r="G34" s="16" t="s">
        <v>1160</v>
      </c>
      <c r="H34" s="16" t="s">
        <v>1063</v>
      </c>
      <c r="I34" s="16" t="s">
        <v>507</v>
      </c>
      <c r="J34" s="16" t="s">
        <v>412</v>
      </c>
      <c r="K34" s="19" t="n">
        <v>0</v>
      </c>
      <c r="L34" s="20" t="s">
        <v>308</v>
      </c>
      <c r="M34" s="20"/>
      <c r="N34" s="20" t="s">
        <v>1161</v>
      </c>
    </row>
    <row r="35" customFormat="false" ht="35.05" hidden="false" customHeight="false" outlineLevel="0" collapsed="false">
      <c r="A35" s="18" t="s">
        <v>219</v>
      </c>
      <c r="B35" s="16" t="s">
        <v>1065</v>
      </c>
      <c r="C35" s="16" t="s">
        <v>1162</v>
      </c>
      <c r="D35" s="16" t="s">
        <v>219</v>
      </c>
      <c r="E35" s="16" t="s">
        <v>220</v>
      </c>
      <c r="F35" s="16" t="s">
        <v>1061</v>
      </c>
      <c r="G35" s="16" t="s">
        <v>1163</v>
      </c>
      <c r="H35" s="16" t="s">
        <v>1063</v>
      </c>
      <c r="I35" s="16" t="s">
        <v>507</v>
      </c>
      <c r="J35" s="16" t="s">
        <v>412</v>
      </c>
      <c r="K35" s="19" t="n">
        <v>0</v>
      </c>
      <c r="L35" s="20" t="s">
        <v>308</v>
      </c>
      <c r="M35" s="20"/>
      <c r="N35" s="20" t="s">
        <v>1164</v>
      </c>
    </row>
    <row r="36" customFormat="false" ht="46.25" hidden="false" customHeight="false" outlineLevel="0" collapsed="false">
      <c r="A36" s="18" t="s">
        <v>224</v>
      </c>
      <c r="B36" s="16" t="s">
        <v>48</v>
      </c>
      <c r="C36" s="16" t="s">
        <v>1165</v>
      </c>
      <c r="D36" s="16" t="s">
        <v>224</v>
      </c>
      <c r="E36" s="16" t="s">
        <v>225</v>
      </c>
      <c r="F36" s="16" t="s">
        <v>1061</v>
      </c>
      <c r="G36" s="16" t="s">
        <v>1166</v>
      </c>
      <c r="H36" s="16" t="s">
        <v>1063</v>
      </c>
      <c r="I36" s="16" t="s">
        <v>507</v>
      </c>
      <c r="J36" s="16" t="s">
        <v>412</v>
      </c>
      <c r="K36" s="19" t="n">
        <v>0</v>
      </c>
      <c r="L36" s="20" t="s">
        <v>308</v>
      </c>
      <c r="M36" s="20"/>
      <c r="N36" s="20" t="s">
        <v>1167</v>
      </c>
    </row>
    <row r="37" customFormat="false" ht="46.25" hidden="false" customHeight="false" outlineLevel="0" collapsed="false">
      <c r="A37" s="18" t="s">
        <v>229</v>
      </c>
      <c r="B37" s="16" t="s">
        <v>1065</v>
      </c>
      <c r="C37" s="16" t="s">
        <v>1168</v>
      </c>
      <c r="D37" s="16" t="s">
        <v>229</v>
      </c>
      <c r="E37" s="16" t="s">
        <v>230</v>
      </c>
      <c r="F37" s="16" t="s">
        <v>1061</v>
      </c>
      <c r="G37" s="16" t="s">
        <v>1169</v>
      </c>
      <c r="H37" s="16" t="s">
        <v>1063</v>
      </c>
      <c r="I37" s="16" t="s">
        <v>507</v>
      </c>
      <c r="J37" s="16" t="s">
        <v>412</v>
      </c>
      <c r="K37" s="19" t="n">
        <v>0</v>
      </c>
      <c r="L37" s="20" t="s">
        <v>308</v>
      </c>
      <c r="M37" s="20"/>
      <c r="N37" s="20" t="s">
        <v>1170</v>
      </c>
    </row>
    <row r="38" customFormat="false" ht="57.45" hidden="false" customHeight="false" outlineLevel="0" collapsed="false">
      <c r="A38" s="18" t="s">
        <v>235</v>
      </c>
      <c r="B38" s="16" t="s">
        <v>48</v>
      </c>
      <c r="C38" s="16" t="s">
        <v>1171</v>
      </c>
      <c r="D38" s="16" t="s">
        <v>235</v>
      </c>
      <c r="E38" s="16" t="s">
        <v>236</v>
      </c>
      <c r="F38" s="16" t="s">
        <v>1061</v>
      </c>
      <c r="G38" s="16" t="s">
        <v>1172</v>
      </c>
      <c r="H38" s="16" t="s">
        <v>1063</v>
      </c>
      <c r="I38" s="16" t="s">
        <v>507</v>
      </c>
      <c r="J38" s="16" t="s">
        <v>412</v>
      </c>
      <c r="K38" s="19" t="n">
        <v>0</v>
      </c>
      <c r="L38" s="20" t="s">
        <v>308</v>
      </c>
      <c r="M38" s="20"/>
      <c r="N38" s="20" t="s">
        <v>1173</v>
      </c>
    </row>
    <row r="39" customFormat="false" ht="35.05" hidden="false" customHeight="false" outlineLevel="0" collapsed="false">
      <c r="A39" s="18" t="s">
        <v>240</v>
      </c>
      <c r="B39" s="16" t="s">
        <v>1065</v>
      </c>
      <c r="C39" s="16" t="s">
        <v>1174</v>
      </c>
      <c r="D39" s="16" t="s">
        <v>240</v>
      </c>
      <c r="E39" s="16" t="s">
        <v>241</v>
      </c>
      <c r="F39" s="16" t="s">
        <v>1061</v>
      </c>
      <c r="G39" s="16" t="s">
        <v>1175</v>
      </c>
      <c r="H39" s="16" t="s">
        <v>1063</v>
      </c>
      <c r="I39" s="16" t="s">
        <v>507</v>
      </c>
      <c r="J39" s="16" t="s">
        <v>412</v>
      </c>
      <c r="K39" s="19" t="n">
        <v>0</v>
      </c>
      <c r="L39" s="20" t="s">
        <v>308</v>
      </c>
      <c r="M39" s="20"/>
      <c r="N39" s="20" t="s">
        <v>1176</v>
      </c>
    </row>
    <row r="40" customFormat="false" ht="46.25" hidden="false" customHeight="false" outlineLevel="0" collapsed="false">
      <c r="A40" s="18" t="s">
        <v>245</v>
      </c>
      <c r="B40" s="16" t="s">
        <v>48</v>
      </c>
      <c r="C40" s="16" t="s">
        <v>1177</v>
      </c>
      <c r="D40" s="16" t="s">
        <v>245</v>
      </c>
      <c r="E40" s="16" t="s">
        <v>246</v>
      </c>
      <c r="F40" s="16" t="s">
        <v>1061</v>
      </c>
      <c r="G40" s="16" t="s">
        <v>1178</v>
      </c>
      <c r="H40" s="16" t="s">
        <v>1063</v>
      </c>
      <c r="I40" s="16" t="s">
        <v>507</v>
      </c>
      <c r="J40" s="16" t="s">
        <v>412</v>
      </c>
      <c r="K40" s="19" t="n">
        <v>0</v>
      </c>
      <c r="L40" s="20" t="s">
        <v>308</v>
      </c>
      <c r="M40" s="20"/>
      <c r="N40" s="20" t="s">
        <v>1179</v>
      </c>
    </row>
    <row r="41" customFormat="false" ht="57.45" hidden="false" customHeight="false" outlineLevel="0" collapsed="false">
      <c r="A41" s="18" t="s">
        <v>250</v>
      </c>
      <c r="B41" s="16" t="s">
        <v>1065</v>
      </c>
      <c r="C41" s="16" t="s">
        <v>1180</v>
      </c>
      <c r="D41" s="16" t="s">
        <v>250</v>
      </c>
      <c r="E41" s="16" t="s">
        <v>251</v>
      </c>
      <c r="F41" s="16" t="s">
        <v>1061</v>
      </c>
      <c r="G41" s="16" t="s">
        <v>1181</v>
      </c>
      <c r="H41" s="16" t="s">
        <v>1063</v>
      </c>
      <c r="I41" s="16" t="s">
        <v>507</v>
      </c>
      <c r="J41" s="16" t="s">
        <v>412</v>
      </c>
      <c r="K41" s="19" t="n">
        <v>0</v>
      </c>
      <c r="L41" s="20" t="s">
        <v>308</v>
      </c>
      <c r="M41" s="20"/>
      <c r="N41" s="20" t="s">
        <v>1182</v>
      </c>
    </row>
    <row r="42" customFormat="false" ht="68.65" hidden="false" customHeight="false" outlineLevel="0" collapsed="false">
      <c r="A42" s="18" t="s">
        <v>255</v>
      </c>
      <c r="B42" s="16" t="s">
        <v>48</v>
      </c>
      <c r="C42" s="16" t="s">
        <v>1183</v>
      </c>
      <c r="D42" s="16" t="s">
        <v>255</v>
      </c>
      <c r="E42" s="16" t="s">
        <v>256</v>
      </c>
      <c r="F42" s="16" t="s">
        <v>1061</v>
      </c>
      <c r="G42" s="16" t="s">
        <v>1184</v>
      </c>
      <c r="H42" s="16" t="s">
        <v>1063</v>
      </c>
      <c r="I42" s="16" t="s">
        <v>507</v>
      </c>
      <c r="J42" s="16" t="s">
        <v>412</v>
      </c>
      <c r="K42" s="19" t="n">
        <v>0</v>
      </c>
      <c r="L42" s="20" t="s">
        <v>308</v>
      </c>
      <c r="M42" s="20"/>
      <c r="N42" s="20" t="s">
        <v>1185</v>
      </c>
    </row>
    <row r="43" customFormat="false" ht="79.85" hidden="false" customHeight="false" outlineLevel="0" collapsed="false">
      <c r="A43" s="18" t="s">
        <v>260</v>
      </c>
      <c r="B43" s="16" t="s">
        <v>1065</v>
      </c>
      <c r="C43" s="16" t="s">
        <v>1186</v>
      </c>
      <c r="D43" s="16" t="s">
        <v>260</v>
      </c>
      <c r="E43" s="16" t="s">
        <v>261</v>
      </c>
      <c r="F43" s="16" t="s">
        <v>1061</v>
      </c>
      <c r="G43" s="16" t="s">
        <v>1187</v>
      </c>
      <c r="H43" s="16" t="s">
        <v>1063</v>
      </c>
      <c r="I43" s="16" t="s">
        <v>507</v>
      </c>
      <c r="J43" s="16" t="s">
        <v>412</v>
      </c>
      <c r="K43" s="19" t="n">
        <v>0</v>
      </c>
      <c r="L43" s="20" t="s">
        <v>308</v>
      </c>
      <c r="M43" s="20"/>
      <c r="N43" s="20" t="s">
        <v>1188</v>
      </c>
    </row>
    <row r="44" customFormat="false" ht="57.45" hidden="false" customHeight="false" outlineLevel="0" collapsed="false">
      <c r="A44" s="18" t="s">
        <v>265</v>
      </c>
      <c r="B44" s="16" t="s">
        <v>48</v>
      </c>
      <c r="C44" s="16" t="s">
        <v>1189</v>
      </c>
      <c r="D44" s="16" t="s">
        <v>265</v>
      </c>
      <c r="E44" s="16" t="s">
        <v>266</v>
      </c>
      <c r="F44" s="16" t="s">
        <v>1061</v>
      </c>
      <c r="G44" s="16" t="s">
        <v>1190</v>
      </c>
      <c r="H44" s="16" t="s">
        <v>1063</v>
      </c>
      <c r="I44" s="16" t="s">
        <v>507</v>
      </c>
      <c r="J44" s="16" t="s">
        <v>412</v>
      </c>
      <c r="K44" s="19" t="n">
        <v>0</v>
      </c>
      <c r="L44" s="20" t="s">
        <v>308</v>
      </c>
      <c r="M44" s="20"/>
      <c r="N44" s="20" t="s">
        <v>1191</v>
      </c>
    </row>
    <row r="45" customFormat="false" ht="46.25" hidden="false" customHeight="false" outlineLevel="0" collapsed="false">
      <c r="A45" s="18" t="s">
        <v>271</v>
      </c>
      <c r="B45" s="16" t="s">
        <v>1065</v>
      </c>
      <c r="C45" s="16" t="s">
        <v>1192</v>
      </c>
      <c r="D45" s="16" t="s">
        <v>271</v>
      </c>
      <c r="E45" s="16" t="s">
        <v>272</v>
      </c>
      <c r="F45" s="16" t="s">
        <v>1061</v>
      </c>
      <c r="G45" s="16" t="s">
        <v>1193</v>
      </c>
      <c r="H45" s="16" t="s">
        <v>1063</v>
      </c>
      <c r="I45" s="16" t="s">
        <v>507</v>
      </c>
      <c r="J45" s="16" t="s">
        <v>412</v>
      </c>
      <c r="K45" s="19" t="n">
        <v>0</v>
      </c>
      <c r="L45" s="20" t="s">
        <v>308</v>
      </c>
      <c r="M45" s="20"/>
      <c r="N45" s="20" t="s">
        <v>1194</v>
      </c>
    </row>
    <row r="46" customFormat="false" ht="68.65" hidden="false" customHeight="false" outlineLevel="0" collapsed="false">
      <c r="A46" s="18" t="s">
        <v>276</v>
      </c>
      <c r="B46" s="16" t="s">
        <v>48</v>
      </c>
      <c r="C46" s="16" t="s">
        <v>1195</v>
      </c>
      <c r="D46" s="16" t="s">
        <v>276</v>
      </c>
      <c r="E46" s="16" t="s">
        <v>277</v>
      </c>
      <c r="F46" s="16" t="s">
        <v>1061</v>
      </c>
      <c r="G46" s="16" t="s">
        <v>1196</v>
      </c>
      <c r="H46" s="16" t="s">
        <v>1063</v>
      </c>
      <c r="I46" s="16" t="s">
        <v>507</v>
      </c>
      <c r="J46" s="16" t="s">
        <v>412</v>
      </c>
      <c r="K46" s="19" t="n">
        <v>0</v>
      </c>
      <c r="L46" s="20" t="s">
        <v>308</v>
      </c>
      <c r="M46" s="20"/>
      <c r="N46" s="20" t="s">
        <v>1197</v>
      </c>
    </row>
    <row r="47" customFormat="false" ht="35.05" hidden="false" customHeight="false" outlineLevel="0" collapsed="false">
      <c r="A47" s="18" t="s">
        <v>281</v>
      </c>
      <c r="B47" s="16" t="s">
        <v>1065</v>
      </c>
      <c r="C47" s="16" t="s">
        <v>1198</v>
      </c>
      <c r="D47" s="16" t="s">
        <v>281</v>
      </c>
      <c r="E47" s="16" t="s">
        <v>282</v>
      </c>
      <c r="F47" s="16" t="s">
        <v>1061</v>
      </c>
      <c r="G47" s="16" t="s">
        <v>1199</v>
      </c>
      <c r="H47" s="16" t="s">
        <v>1063</v>
      </c>
      <c r="I47" s="16" t="s">
        <v>507</v>
      </c>
      <c r="J47" s="16" t="s">
        <v>412</v>
      </c>
      <c r="K47" s="19" t="n">
        <v>0</v>
      </c>
      <c r="L47" s="20" t="s">
        <v>308</v>
      </c>
      <c r="M47" s="20"/>
      <c r="N47" s="20" t="s">
        <v>1200</v>
      </c>
    </row>
  </sheetData>
  <autoFilter ref="A1:N47"/>
  <conditionalFormatting sqref="L2:L47">
    <cfRule type="cellIs" priority="2" operator="equal" aboveAverage="0" equalAverage="0" bottom="0" percent="0" rank="0" text="" dxfId="4">
      <formula>"Downloaded"</formula>
    </cfRule>
    <cfRule type="cellIs" priority="3" operator="equal" aboveAverage="0" equalAverage="0" bottom="0" percent="0" rank="0" text="" dxfId="5">
      <formula>"Licence noted"</formula>
    </cfRule>
    <cfRule type="cellIs" priority="4" operator="equal" aboveAverage="0" equalAverage="0" bottom="0" percent="0" rank="0" text="" dxfId="6">
      <formula>"In repo"</formula>
    </cfRule>
  </conditionalFormatting>
  <dataValidations count="1">
    <dataValidation allowBlank="true" errorStyle="stop" operator="between" showDropDown="false" showErrorMessage="false" showInputMessage="false" sqref="L2:L47" type="list">
      <formula1>"Not started,Searching,Downloaded,Licence noted,In repo"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2026-10-10T10:48:15Z</dcterms:created>
  <dc:creator>openpyxl</dc:creator>
  <dc:description/>
  <dc:language>en-US</dc:language>
  <cp:lastModifiedBy/>
  <dcterms:modified xsi:type="dcterms:W3CDTF">2026-10-10T10:48:15Z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